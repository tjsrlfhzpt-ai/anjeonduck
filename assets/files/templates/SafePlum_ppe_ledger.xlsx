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작성 안내" sheetId="1" state="visible" r:id="rId1"/>
    <sheet xmlns:r="http://schemas.openxmlformats.org/officeDocument/2006/relationships" name="보호구 지급대장" sheetId="2" state="visible" r:id="rId2"/>
    <sheet xmlns:r="http://schemas.openxmlformats.org/officeDocument/2006/relationships" name="보호구 점검기록" sheetId="3" state="visible" r:id="rId3"/>
    <sheet xmlns:r="http://schemas.openxmlformats.org/officeDocument/2006/relationships" name="지급 기준(제32조)" sheetId="4" state="visible" r:id="rId4"/>
  </sheets>
  <definedNames>
    <definedName name="_xlnm.Print_Titles" localSheetId="1">'보호구 지급대장'!$5:$5</definedName>
    <definedName name="_xlnm.Print_Area" localSheetId="1">'보호구 지급대장'!$A$1:$K$41</definedName>
    <definedName name="_xlnm.Print_Titles" localSheetId="2">'보호구 점검기록'!$4:$4</definedName>
    <definedName name="_xlnm.Print_Area" localSheetId="2">'보호구 점검기록'!$A$1:$H$34</definedName>
    <definedName name="_xlnm.Print_Area" localSheetId="3">'지급 기준(제32조)'!$A$1:$C$17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13233A"/>
      <sz val="18"/>
    </font>
    <font>
      <name val="맑은 고딕"/>
      <color rgb="006B7280"/>
      <sz val="9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color rgb="006B7280"/>
      <sz val="8.5"/>
    </font>
    <font>
      <name val="맑은 고딕"/>
      <b val="1"/>
      <color rgb="0013233A"/>
      <sz val="9.5"/>
    </font>
    <font>
      <name val="맑은 고딕"/>
      <color rgb="001F2937"/>
      <sz val="9.5"/>
    </font>
    <font>
      <name val="맑은 고딕"/>
      <i val="1"/>
      <color rgb="008A94A3"/>
      <sz val="9.5"/>
    </font>
    <font>
      <name val="맑은 고딕"/>
      <b val="1"/>
      <color rgb="001F2937"/>
      <sz val="11"/>
    </font>
    <font>
      <name val="맑은 고딕"/>
      <b val="1"/>
      <color rgb="00D92D20"/>
      <sz val="11"/>
    </font>
    <font>
      <name val="맑은 고딕"/>
      <b val="1"/>
      <color rgb="001F2937"/>
      <sz val="10"/>
    </font>
    <font>
      <name val="맑은 고딕"/>
      <b val="1"/>
      <color rgb="0013233A"/>
      <sz val="10"/>
    </font>
    <font>
      <name val="맑은 고딕"/>
      <b val="1"/>
      <color rgb="0013233A"/>
      <sz val="11"/>
    </font>
    <font>
      <name val="맑은 고딕"/>
      <color rgb="001F2937"/>
      <sz val="10"/>
    </font>
    <font>
      <name val="맑은 고딕"/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7ECF4"/>
        <bgColor rgb="00E7ECF4"/>
      </patternFill>
    </fill>
    <fill>
      <patternFill patternType="solid">
        <fgColor rgb="00F3F5F9"/>
        <bgColor rgb="00F3F5F9"/>
      </patternFill>
    </fill>
  </fills>
  <borders count="2">
    <border>
      <left/>
      <right/>
      <top/>
      <bottom/>
      <diagonal/>
    </border>
    <border>
      <left style="thin">
        <color rgb="008C97A8"/>
      </left>
      <right style="thin">
        <color rgb="008C97A8"/>
      </right>
      <top style="thin">
        <color rgb="008C97A8"/>
      </top>
      <bottom style="thin">
        <color rgb="008C97A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맑은 고딕"/>
        <b val="1"/>
        <color rgb="00FFFFFF"/>
      </font>
      <fill>
        <patternFill patternType="solid">
          <fgColor rgb="00D92D20"/>
          <bgColor rgb="00D92D20"/>
        </patternFill>
      </fill>
    </dxf>
    <dxf>
      <font>
        <name val="맑은 고딕"/>
        <b val="1"/>
        <color rgb="00FFFFFF"/>
      </font>
      <fill>
        <patternFill patternType="solid">
          <fgColor rgb="00F79009"/>
          <bgColor rgb="00F79009"/>
        </patternFill>
      </fill>
    </dxf>
    <dxf>
      <font>
        <name val="맑은 고딕"/>
        <b val="1"/>
        <color rgb="00D92D20"/>
      </font>
      <fill>
        <patternFill patternType="solid">
          <fgColor rgb="00FEE4E2"/>
          <b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8A2B3"/>
    <outlinePr summaryBelow="1" summaryRight="1"/>
    <pageSetUpPr fitToPage="1"/>
  </sheetPr>
  <dimension ref="A1:B9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4" customHeight="1">
      <c r="A1" s="1" t="inlineStr">
        <is>
          <t>보호구 지급·관리대장 — 작성 안내</t>
        </is>
      </c>
    </row>
    <row r="2" ht="18" customHeight="1">
      <c r="A2" s="2" t="inlineStr">
        <is>
          <t>SafePlum 무료 양식 · safeplum.com — 사업장 사정에 맞게 고쳐 쓰세요</t>
        </is>
      </c>
    </row>
    <row r="4">
      <c r="A4" s="3" t="inlineStr">
        <is>
          <t>■</t>
        </is>
      </c>
      <c r="B4" s="4" t="inlineStr">
        <is>
          <t>이렇게 쓰세요</t>
        </is>
      </c>
    </row>
    <row r="5" ht="32" customHeight="1">
      <c r="B5" s="5" t="inlineStr">
        <is>
          <t>지급할 때마다 한 줄씩 적고 수령 서명을 받습니다. 사용기한·교체 예정일을 넣으면 교체 상태가 자동으로 표시됩니다(지난 날짜: 교체 필요, 30일 이내: 주황).</t>
        </is>
      </c>
    </row>
    <row r="6" ht="32" customHeight="1">
      <c r="B6" s="5" t="inlineStr">
        <is>
          <t>보호구는 안전인증·자율안전확인 대상인지 확인하고 인증 제품을 지급하세요. 인증 확인: safeplum.com/tools/gear-cert/</t>
        </is>
      </c>
    </row>
    <row r="7" ht="18" customHeight="1">
      <c r="B7" s="5" t="inlineStr">
        <is>
          <t>점검기록 시트에 정기 점검 결과를 남기고, 다음 점검일이 지나면 빨간색으로 표시됩니다.</t>
        </is>
      </c>
    </row>
    <row r="9" ht="30" customHeight="1">
      <c r="B9" s="6" t="inlineStr">
        <is>
          <t>근거: 산업안전보건기준에 관한 규칙 제32조(보호구의 지급 등). 화면으로 작성: safeplum.com/tools/forms/ppe-ledger/</t>
        </is>
      </c>
    </row>
  </sheetData>
  <mergeCells count="2">
    <mergeCell ref="A2:B2"/>
    <mergeCell ref="A1:B1"/>
  </mergeCells>
  <printOptions horizontalCentered="1"/>
  <pageMargins left="0.4" right="0.4" top="0.5" bottom="0.55" header="0.2" footer="0.2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13233A"/>
    <outlinePr summaryBelow="1" summaryRight="1"/>
    <pageSetUpPr fitToPage="1"/>
  </sheetPr>
  <dimension ref="A1:K41"/>
  <sheetViews>
    <sheetView showGridLines="0" zoomScale="10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0" customWidth="1" min="4" max="4"/>
    <col width="14" customWidth="1" min="5" max="5"/>
    <col width="16" customWidth="1" min="6" max="6"/>
    <col width="6" customWidth="1" min="7" max="7"/>
    <col width="12" customWidth="1" min="8" max="8"/>
    <col width="12" customWidth="1" min="9" max="9"/>
    <col width="10" customWidth="1" min="10" max="10"/>
    <col width="14" customWidth="1" min="11" max="11"/>
  </cols>
  <sheetData>
    <row r="1" ht="18" customHeight="1">
      <c r="A1" s="1" t="inlineStr">
        <is>
          <t>보호구 지급·관리대장</t>
        </is>
      </c>
      <c r="I1" s="7" t="inlineStr">
        <is>
          <t>결
재</t>
        </is>
      </c>
      <c r="J1" s="7" t="inlineStr">
        <is>
          <t>담당</t>
        </is>
      </c>
      <c r="K1" s="7" t="inlineStr">
        <is>
          <t>승인</t>
        </is>
      </c>
    </row>
    <row r="2" ht="28" customHeight="1">
      <c r="A2" s="2" t="inlineStr">
        <is>
          <t>작업조건에 맞는 보호구를 작업하는 근로자 수 이상 지급하고 착용하도록 해야 합니다(안전보건규칙 제32조)</t>
        </is>
      </c>
      <c r="I2" s="7" t="n"/>
      <c r="J2" s="8" t="n"/>
      <c r="K2" s="8" t="n"/>
    </row>
    <row r="4" ht="16" customHeight="1">
      <c r="A4" s="9" t="inlineStr">
        <is>
          <t>흰 칸에 입력 · 회색 기울임 글씨는 예시(지우고 쓰기) · 색이 있는 칸은 자동 계산</t>
        </is>
      </c>
    </row>
    <row r="5" ht="30" customHeight="1">
      <c r="A5" s="10" t="inlineStr">
        <is>
          <t>No</t>
        </is>
      </c>
      <c r="B5" s="10" t="inlineStr">
        <is>
          <t>지급일</t>
        </is>
      </c>
      <c r="C5" s="10" t="inlineStr">
        <is>
          <t>소속</t>
        </is>
      </c>
      <c r="D5" s="10" t="inlineStr">
        <is>
          <t>성명</t>
        </is>
      </c>
      <c r="E5" s="10" t="inlineStr">
        <is>
          <t>보호구 종류</t>
        </is>
      </c>
      <c r="F5" s="10" t="inlineStr">
        <is>
          <t>규격·모델</t>
        </is>
      </c>
      <c r="G5" s="10" t="inlineStr">
        <is>
          <t>수량</t>
        </is>
      </c>
      <c r="H5" s="10" t="inlineStr">
        <is>
          <t>지급 사유</t>
        </is>
      </c>
      <c r="I5" s="10" t="inlineStr">
        <is>
          <t>사용기한·
교체 예정일</t>
        </is>
      </c>
      <c r="J5" s="10" t="inlineStr">
        <is>
          <t>교체 상태</t>
        </is>
      </c>
      <c r="K5" s="10" t="inlineStr">
        <is>
          <t>수령 서명</t>
        </is>
      </c>
    </row>
    <row r="6" ht="24" customHeight="1">
      <c r="A6" s="11" t="n">
        <v>1</v>
      </c>
      <c r="B6" s="12" t="inlineStr">
        <is>
          <t>2026-10-27</t>
        </is>
      </c>
      <c r="C6" s="13" t="inlineStr">
        <is>
          <t>생산1팀</t>
        </is>
      </c>
      <c r="D6" s="13" t="inlineStr">
        <is>
          <t>○○○</t>
        </is>
      </c>
      <c r="E6" s="13" t="inlineStr">
        <is>
          <t>안전화</t>
        </is>
      </c>
      <c r="F6" s="13" t="inlineStr">
        <is>
          <t>KCs 인증 ○○ 270</t>
        </is>
      </c>
      <c r="G6" s="13" t="n">
        <v>1</v>
      </c>
      <c r="H6" s="13" t="inlineStr">
        <is>
          <t>신규 입사</t>
        </is>
      </c>
      <c r="I6" s="12" t="inlineStr">
        <is>
          <t>2027-10-26</t>
        </is>
      </c>
      <c r="J6" s="14">
        <f>IF(I6="","",IF(I6&lt;TODAY(),"교체 필요",IF(I6-TODAY()&lt;=30,"30일 이내","사용 중")))</f>
        <v/>
      </c>
      <c r="K6" s="11" t="n"/>
    </row>
    <row r="7" ht="24" customHeight="1">
      <c r="A7" s="11" t="n">
        <v>2</v>
      </c>
      <c r="B7" s="15" t="n"/>
      <c r="C7" s="11" t="n"/>
      <c r="D7" s="11" t="n"/>
      <c r="E7" s="11" t="n"/>
      <c r="F7" s="11" t="n"/>
      <c r="G7" s="11" t="n"/>
      <c r="H7" s="11" t="n"/>
      <c r="I7" s="15" t="n"/>
      <c r="J7" s="14">
        <f>IF(I7="","",IF(I7&lt;TODAY(),"교체 필요",IF(I7-TODAY()&lt;=30,"30일 이내","사용 중")))</f>
        <v/>
      </c>
      <c r="K7" s="11" t="n"/>
    </row>
    <row r="8" ht="24" customHeight="1">
      <c r="A8" s="11" t="n">
        <v>3</v>
      </c>
      <c r="B8" s="15" t="n"/>
      <c r="C8" s="11" t="n"/>
      <c r="D8" s="11" t="n"/>
      <c r="E8" s="11" t="n"/>
      <c r="F8" s="11" t="n"/>
      <c r="G8" s="11" t="n"/>
      <c r="H8" s="11" t="n"/>
      <c r="I8" s="15" t="n"/>
      <c r="J8" s="14">
        <f>IF(I8="","",IF(I8&lt;TODAY(),"교체 필요",IF(I8-TODAY()&lt;=30,"30일 이내","사용 중")))</f>
        <v/>
      </c>
      <c r="K8" s="11" t="n"/>
    </row>
    <row r="9" ht="24" customHeight="1">
      <c r="A9" s="11" t="n">
        <v>4</v>
      </c>
      <c r="B9" s="15" t="n"/>
      <c r="C9" s="11" t="n"/>
      <c r="D9" s="11" t="n"/>
      <c r="E9" s="11" t="n"/>
      <c r="F9" s="11" t="n"/>
      <c r="G9" s="11" t="n"/>
      <c r="H9" s="11" t="n"/>
      <c r="I9" s="15" t="n"/>
      <c r="J9" s="14">
        <f>IF(I9="","",IF(I9&lt;TODAY(),"교체 필요",IF(I9-TODAY()&lt;=30,"30일 이내","사용 중")))</f>
        <v/>
      </c>
      <c r="K9" s="11" t="n"/>
    </row>
    <row r="10" ht="24" customHeight="1">
      <c r="A10" s="11" t="n">
        <v>5</v>
      </c>
      <c r="B10" s="15" t="n"/>
      <c r="C10" s="11" t="n"/>
      <c r="D10" s="11" t="n"/>
      <c r="E10" s="11" t="n"/>
      <c r="F10" s="11" t="n"/>
      <c r="G10" s="11" t="n"/>
      <c r="H10" s="11" t="n"/>
      <c r="I10" s="15" t="n"/>
      <c r="J10" s="14">
        <f>IF(I10="","",IF(I10&lt;TODAY(),"교체 필요",IF(I10-TODAY()&lt;=30,"30일 이내","사용 중")))</f>
        <v/>
      </c>
      <c r="K10" s="11" t="n"/>
    </row>
    <row r="11" ht="24" customHeight="1">
      <c r="A11" s="11" t="n">
        <v>6</v>
      </c>
      <c r="B11" s="15" t="n"/>
      <c r="C11" s="11" t="n"/>
      <c r="D11" s="11" t="n"/>
      <c r="E11" s="11" t="n"/>
      <c r="F11" s="11" t="n"/>
      <c r="G11" s="11" t="n"/>
      <c r="H11" s="11" t="n"/>
      <c r="I11" s="15" t="n"/>
      <c r="J11" s="14">
        <f>IF(I11="","",IF(I11&lt;TODAY(),"교체 필요",IF(I11-TODAY()&lt;=30,"30일 이내","사용 중")))</f>
        <v/>
      </c>
      <c r="K11" s="11" t="n"/>
    </row>
    <row r="12" ht="24" customHeight="1">
      <c r="A12" s="11" t="n">
        <v>7</v>
      </c>
      <c r="B12" s="15" t="n"/>
      <c r="C12" s="11" t="n"/>
      <c r="D12" s="11" t="n"/>
      <c r="E12" s="11" t="n"/>
      <c r="F12" s="11" t="n"/>
      <c r="G12" s="11" t="n"/>
      <c r="H12" s="11" t="n"/>
      <c r="I12" s="15" t="n"/>
      <c r="J12" s="14">
        <f>IF(I12="","",IF(I12&lt;TODAY(),"교체 필요",IF(I12-TODAY()&lt;=30,"30일 이내","사용 중")))</f>
        <v/>
      </c>
      <c r="K12" s="11" t="n"/>
    </row>
    <row r="13" ht="24" customHeight="1">
      <c r="A13" s="11" t="n">
        <v>8</v>
      </c>
      <c r="B13" s="15" t="n"/>
      <c r="C13" s="11" t="n"/>
      <c r="D13" s="11" t="n"/>
      <c r="E13" s="11" t="n"/>
      <c r="F13" s="11" t="n"/>
      <c r="G13" s="11" t="n"/>
      <c r="H13" s="11" t="n"/>
      <c r="I13" s="15" t="n"/>
      <c r="J13" s="14">
        <f>IF(I13="","",IF(I13&lt;TODAY(),"교체 필요",IF(I13-TODAY()&lt;=30,"30일 이내","사용 중")))</f>
        <v/>
      </c>
      <c r="K13" s="11" t="n"/>
    </row>
    <row r="14" ht="24" customHeight="1">
      <c r="A14" s="11" t="n">
        <v>9</v>
      </c>
      <c r="B14" s="15" t="n"/>
      <c r="C14" s="11" t="n"/>
      <c r="D14" s="11" t="n"/>
      <c r="E14" s="11" t="n"/>
      <c r="F14" s="11" t="n"/>
      <c r="G14" s="11" t="n"/>
      <c r="H14" s="11" t="n"/>
      <c r="I14" s="15" t="n"/>
      <c r="J14" s="14">
        <f>IF(I14="","",IF(I14&lt;TODAY(),"교체 필요",IF(I14-TODAY()&lt;=30,"30일 이내","사용 중")))</f>
        <v/>
      </c>
      <c r="K14" s="11" t="n"/>
    </row>
    <row r="15" ht="24" customHeight="1">
      <c r="A15" s="11" t="n">
        <v>10</v>
      </c>
      <c r="B15" s="15" t="n"/>
      <c r="C15" s="11" t="n"/>
      <c r="D15" s="11" t="n"/>
      <c r="E15" s="11" t="n"/>
      <c r="F15" s="11" t="n"/>
      <c r="G15" s="11" t="n"/>
      <c r="H15" s="11" t="n"/>
      <c r="I15" s="15" t="n"/>
      <c r="J15" s="14">
        <f>IF(I15="","",IF(I15&lt;TODAY(),"교체 필요",IF(I15-TODAY()&lt;=30,"30일 이내","사용 중")))</f>
        <v/>
      </c>
      <c r="K15" s="11" t="n"/>
    </row>
    <row r="16" ht="24" customHeight="1">
      <c r="A16" s="11" t="n">
        <v>11</v>
      </c>
      <c r="B16" s="15" t="n"/>
      <c r="C16" s="11" t="n"/>
      <c r="D16" s="11" t="n"/>
      <c r="E16" s="11" t="n"/>
      <c r="F16" s="11" t="n"/>
      <c r="G16" s="11" t="n"/>
      <c r="H16" s="11" t="n"/>
      <c r="I16" s="15" t="n"/>
      <c r="J16" s="14">
        <f>IF(I16="","",IF(I16&lt;TODAY(),"교체 필요",IF(I16-TODAY()&lt;=30,"30일 이내","사용 중")))</f>
        <v/>
      </c>
      <c r="K16" s="11" t="n"/>
    </row>
    <row r="17" ht="24" customHeight="1">
      <c r="A17" s="11" t="n">
        <v>12</v>
      </c>
      <c r="B17" s="15" t="n"/>
      <c r="C17" s="11" t="n"/>
      <c r="D17" s="11" t="n"/>
      <c r="E17" s="11" t="n"/>
      <c r="F17" s="11" t="n"/>
      <c r="G17" s="11" t="n"/>
      <c r="H17" s="11" t="n"/>
      <c r="I17" s="15" t="n"/>
      <c r="J17" s="14">
        <f>IF(I17="","",IF(I17&lt;TODAY(),"교체 필요",IF(I17-TODAY()&lt;=30,"30일 이내","사용 중")))</f>
        <v/>
      </c>
      <c r="K17" s="11" t="n"/>
    </row>
    <row r="18" ht="24" customHeight="1">
      <c r="A18" s="11" t="n">
        <v>13</v>
      </c>
      <c r="B18" s="15" t="n"/>
      <c r="C18" s="11" t="n"/>
      <c r="D18" s="11" t="n"/>
      <c r="E18" s="11" t="n"/>
      <c r="F18" s="11" t="n"/>
      <c r="G18" s="11" t="n"/>
      <c r="H18" s="11" t="n"/>
      <c r="I18" s="15" t="n"/>
      <c r="J18" s="14">
        <f>IF(I18="","",IF(I18&lt;TODAY(),"교체 필요",IF(I18-TODAY()&lt;=30,"30일 이내","사용 중")))</f>
        <v/>
      </c>
      <c r="K18" s="11" t="n"/>
    </row>
    <row r="19" ht="24" customHeight="1">
      <c r="A19" s="11" t="n">
        <v>14</v>
      </c>
      <c r="B19" s="15" t="n"/>
      <c r="C19" s="11" t="n"/>
      <c r="D19" s="11" t="n"/>
      <c r="E19" s="11" t="n"/>
      <c r="F19" s="11" t="n"/>
      <c r="G19" s="11" t="n"/>
      <c r="H19" s="11" t="n"/>
      <c r="I19" s="15" t="n"/>
      <c r="J19" s="14">
        <f>IF(I19="","",IF(I19&lt;TODAY(),"교체 필요",IF(I19-TODAY()&lt;=30,"30일 이내","사용 중")))</f>
        <v/>
      </c>
      <c r="K19" s="11" t="n"/>
    </row>
    <row r="20" ht="24" customHeight="1">
      <c r="A20" s="11" t="n">
        <v>15</v>
      </c>
      <c r="B20" s="15" t="n"/>
      <c r="C20" s="11" t="n"/>
      <c r="D20" s="11" t="n"/>
      <c r="E20" s="11" t="n"/>
      <c r="F20" s="11" t="n"/>
      <c r="G20" s="11" t="n"/>
      <c r="H20" s="11" t="n"/>
      <c r="I20" s="15" t="n"/>
      <c r="J20" s="14">
        <f>IF(I20="","",IF(I20&lt;TODAY(),"교체 필요",IF(I20-TODAY()&lt;=30,"30일 이내","사용 중")))</f>
        <v/>
      </c>
      <c r="K20" s="11" t="n"/>
    </row>
    <row r="21" ht="24" customHeight="1">
      <c r="A21" s="11" t="n">
        <v>16</v>
      </c>
      <c r="B21" s="15" t="n"/>
      <c r="C21" s="11" t="n"/>
      <c r="D21" s="11" t="n"/>
      <c r="E21" s="11" t="n"/>
      <c r="F21" s="11" t="n"/>
      <c r="G21" s="11" t="n"/>
      <c r="H21" s="11" t="n"/>
      <c r="I21" s="15" t="n"/>
      <c r="J21" s="14">
        <f>IF(I21="","",IF(I21&lt;TODAY(),"교체 필요",IF(I21-TODAY()&lt;=30,"30일 이내","사용 중")))</f>
        <v/>
      </c>
      <c r="K21" s="11" t="n"/>
    </row>
    <row r="22" ht="24" customHeight="1">
      <c r="A22" s="11" t="n">
        <v>17</v>
      </c>
      <c r="B22" s="15" t="n"/>
      <c r="C22" s="11" t="n"/>
      <c r="D22" s="11" t="n"/>
      <c r="E22" s="11" t="n"/>
      <c r="F22" s="11" t="n"/>
      <c r="G22" s="11" t="n"/>
      <c r="H22" s="11" t="n"/>
      <c r="I22" s="15" t="n"/>
      <c r="J22" s="14">
        <f>IF(I22="","",IF(I22&lt;TODAY(),"교체 필요",IF(I22-TODAY()&lt;=30,"30일 이내","사용 중")))</f>
        <v/>
      </c>
      <c r="K22" s="11" t="n"/>
    </row>
    <row r="23" ht="24" customHeight="1">
      <c r="A23" s="11" t="n">
        <v>18</v>
      </c>
      <c r="B23" s="15" t="n"/>
      <c r="C23" s="11" t="n"/>
      <c r="D23" s="11" t="n"/>
      <c r="E23" s="11" t="n"/>
      <c r="F23" s="11" t="n"/>
      <c r="G23" s="11" t="n"/>
      <c r="H23" s="11" t="n"/>
      <c r="I23" s="15" t="n"/>
      <c r="J23" s="14">
        <f>IF(I23="","",IF(I23&lt;TODAY(),"교체 필요",IF(I23-TODAY()&lt;=30,"30일 이내","사용 중")))</f>
        <v/>
      </c>
      <c r="K23" s="11" t="n"/>
    </row>
    <row r="24" ht="24" customHeight="1">
      <c r="A24" s="11" t="n">
        <v>19</v>
      </c>
      <c r="B24" s="15" t="n"/>
      <c r="C24" s="11" t="n"/>
      <c r="D24" s="11" t="n"/>
      <c r="E24" s="11" t="n"/>
      <c r="F24" s="11" t="n"/>
      <c r="G24" s="11" t="n"/>
      <c r="H24" s="11" t="n"/>
      <c r="I24" s="15" t="n"/>
      <c r="J24" s="14">
        <f>IF(I24="","",IF(I24&lt;TODAY(),"교체 필요",IF(I24-TODAY()&lt;=30,"30일 이내","사용 중")))</f>
        <v/>
      </c>
      <c r="K24" s="11" t="n"/>
    </row>
    <row r="25" ht="24" customHeight="1">
      <c r="A25" s="11" t="n">
        <v>20</v>
      </c>
      <c r="B25" s="15" t="n"/>
      <c r="C25" s="11" t="n"/>
      <c r="D25" s="11" t="n"/>
      <c r="E25" s="11" t="n"/>
      <c r="F25" s="11" t="n"/>
      <c r="G25" s="11" t="n"/>
      <c r="H25" s="11" t="n"/>
      <c r="I25" s="15" t="n"/>
      <c r="J25" s="14">
        <f>IF(I25="","",IF(I25&lt;TODAY(),"교체 필요",IF(I25-TODAY()&lt;=30,"30일 이내","사용 중")))</f>
        <v/>
      </c>
      <c r="K25" s="11" t="n"/>
    </row>
    <row r="26" ht="24" customHeight="1">
      <c r="A26" s="11" t="n">
        <v>21</v>
      </c>
      <c r="B26" s="15" t="n"/>
      <c r="C26" s="11" t="n"/>
      <c r="D26" s="11" t="n"/>
      <c r="E26" s="11" t="n"/>
      <c r="F26" s="11" t="n"/>
      <c r="G26" s="11" t="n"/>
      <c r="H26" s="11" t="n"/>
      <c r="I26" s="15" t="n"/>
      <c r="J26" s="14">
        <f>IF(I26="","",IF(I26&lt;TODAY(),"교체 필요",IF(I26-TODAY()&lt;=30,"30일 이내","사용 중")))</f>
        <v/>
      </c>
      <c r="K26" s="11" t="n"/>
    </row>
    <row r="27" ht="24" customHeight="1">
      <c r="A27" s="11" t="n">
        <v>22</v>
      </c>
      <c r="B27" s="15" t="n"/>
      <c r="C27" s="11" t="n"/>
      <c r="D27" s="11" t="n"/>
      <c r="E27" s="11" t="n"/>
      <c r="F27" s="11" t="n"/>
      <c r="G27" s="11" t="n"/>
      <c r="H27" s="11" t="n"/>
      <c r="I27" s="15" t="n"/>
      <c r="J27" s="14">
        <f>IF(I27="","",IF(I27&lt;TODAY(),"교체 필요",IF(I27-TODAY()&lt;=30,"30일 이내","사용 중")))</f>
        <v/>
      </c>
      <c r="K27" s="11" t="n"/>
    </row>
    <row r="28" ht="24" customHeight="1">
      <c r="A28" s="11" t="n">
        <v>23</v>
      </c>
      <c r="B28" s="15" t="n"/>
      <c r="C28" s="11" t="n"/>
      <c r="D28" s="11" t="n"/>
      <c r="E28" s="11" t="n"/>
      <c r="F28" s="11" t="n"/>
      <c r="G28" s="11" t="n"/>
      <c r="H28" s="11" t="n"/>
      <c r="I28" s="15" t="n"/>
      <c r="J28" s="14">
        <f>IF(I28="","",IF(I28&lt;TODAY(),"교체 필요",IF(I28-TODAY()&lt;=30,"30일 이내","사용 중")))</f>
        <v/>
      </c>
      <c r="K28" s="11" t="n"/>
    </row>
    <row r="29" ht="24" customHeight="1">
      <c r="A29" s="11" t="n">
        <v>24</v>
      </c>
      <c r="B29" s="15" t="n"/>
      <c r="C29" s="11" t="n"/>
      <c r="D29" s="11" t="n"/>
      <c r="E29" s="11" t="n"/>
      <c r="F29" s="11" t="n"/>
      <c r="G29" s="11" t="n"/>
      <c r="H29" s="11" t="n"/>
      <c r="I29" s="15" t="n"/>
      <c r="J29" s="14">
        <f>IF(I29="","",IF(I29&lt;TODAY(),"교체 필요",IF(I29-TODAY()&lt;=30,"30일 이내","사용 중")))</f>
        <v/>
      </c>
      <c r="K29" s="11" t="n"/>
    </row>
    <row r="30" ht="24" customHeight="1">
      <c r="A30" s="11" t="n">
        <v>25</v>
      </c>
      <c r="B30" s="15" t="n"/>
      <c r="C30" s="11" t="n"/>
      <c r="D30" s="11" t="n"/>
      <c r="E30" s="11" t="n"/>
      <c r="F30" s="11" t="n"/>
      <c r="G30" s="11" t="n"/>
      <c r="H30" s="11" t="n"/>
      <c r="I30" s="15" t="n"/>
      <c r="J30" s="14">
        <f>IF(I30="","",IF(I30&lt;TODAY(),"교체 필요",IF(I30-TODAY()&lt;=30,"30일 이내","사용 중")))</f>
        <v/>
      </c>
      <c r="K30" s="11" t="n"/>
    </row>
    <row r="31" ht="24" customHeight="1">
      <c r="A31" s="11" t="n">
        <v>26</v>
      </c>
      <c r="B31" s="15" t="n"/>
      <c r="C31" s="11" t="n"/>
      <c r="D31" s="11" t="n"/>
      <c r="E31" s="11" t="n"/>
      <c r="F31" s="11" t="n"/>
      <c r="G31" s="11" t="n"/>
      <c r="H31" s="11" t="n"/>
      <c r="I31" s="15" t="n"/>
      <c r="J31" s="14">
        <f>IF(I31="","",IF(I31&lt;TODAY(),"교체 필요",IF(I31-TODAY()&lt;=30,"30일 이내","사용 중")))</f>
        <v/>
      </c>
      <c r="K31" s="11" t="n"/>
    </row>
    <row r="32" ht="24" customHeight="1">
      <c r="A32" s="11" t="n">
        <v>27</v>
      </c>
      <c r="B32" s="15" t="n"/>
      <c r="C32" s="11" t="n"/>
      <c r="D32" s="11" t="n"/>
      <c r="E32" s="11" t="n"/>
      <c r="F32" s="11" t="n"/>
      <c r="G32" s="11" t="n"/>
      <c r="H32" s="11" t="n"/>
      <c r="I32" s="15" t="n"/>
      <c r="J32" s="14">
        <f>IF(I32="","",IF(I32&lt;TODAY(),"교체 필요",IF(I32-TODAY()&lt;=30,"30일 이내","사용 중")))</f>
        <v/>
      </c>
      <c r="K32" s="11" t="n"/>
    </row>
    <row r="33" ht="24" customHeight="1">
      <c r="A33" s="11" t="n">
        <v>28</v>
      </c>
      <c r="B33" s="15" t="n"/>
      <c r="C33" s="11" t="n"/>
      <c r="D33" s="11" t="n"/>
      <c r="E33" s="11" t="n"/>
      <c r="F33" s="11" t="n"/>
      <c r="G33" s="11" t="n"/>
      <c r="H33" s="11" t="n"/>
      <c r="I33" s="15" t="n"/>
      <c r="J33" s="14">
        <f>IF(I33="","",IF(I33&lt;TODAY(),"교체 필요",IF(I33-TODAY()&lt;=30,"30일 이내","사용 중")))</f>
        <v/>
      </c>
      <c r="K33" s="11" t="n"/>
    </row>
    <row r="34" ht="24" customHeight="1">
      <c r="A34" s="11" t="n">
        <v>29</v>
      </c>
      <c r="B34" s="15" t="n"/>
      <c r="C34" s="11" t="n"/>
      <c r="D34" s="11" t="n"/>
      <c r="E34" s="11" t="n"/>
      <c r="F34" s="11" t="n"/>
      <c r="G34" s="11" t="n"/>
      <c r="H34" s="11" t="n"/>
      <c r="I34" s="15" t="n"/>
      <c r="J34" s="14">
        <f>IF(I34="","",IF(I34&lt;TODAY(),"교체 필요",IF(I34-TODAY()&lt;=30,"30일 이내","사용 중")))</f>
        <v/>
      </c>
      <c r="K34" s="11" t="n"/>
    </row>
    <row r="35" ht="24" customHeight="1">
      <c r="A35" s="11" t="n">
        <v>30</v>
      </c>
      <c r="B35" s="15" t="n"/>
      <c r="C35" s="11" t="n"/>
      <c r="D35" s="11" t="n"/>
      <c r="E35" s="11" t="n"/>
      <c r="F35" s="11" t="n"/>
      <c r="G35" s="11" t="n"/>
      <c r="H35" s="11" t="n"/>
      <c r="I35" s="15" t="n"/>
      <c r="J35" s="14">
        <f>IF(I35="","",IF(I35&lt;TODAY(),"교체 필요",IF(I35-TODAY()&lt;=30,"30일 이내","사용 중")))</f>
        <v/>
      </c>
      <c r="K35" s="11" t="n"/>
    </row>
    <row r="36" ht="24" customHeight="1">
      <c r="A36" s="11" t="n">
        <v>31</v>
      </c>
      <c r="B36" s="15" t="n"/>
      <c r="C36" s="11" t="n"/>
      <c r="D36" s="11" t="n"/>
      <c r="E36" s="11" t="n"/>
      <c r="F36" s="11" t="n"/>
      <c r="G36" s="11" t="n"/>
      <c r="H36" s="11" t="n"/>
      <c r="I36" s="15" t="n"/>
      <c r="J36" s="14">
        <f>IF(I36="","",IF(I36&lt;TODAY(),"교체 필요",IF(I36-TODAY()&lt;=30,"30일 이내","사용 중")))</f>
        <v/>
      </c>
      <c r="K36" s="11" t="n"/>
    </row>
    <row r="37" ht="24" customHeight="1">
      <c r="A37" s="11" t="n">
        <v>32</v>
      </c>
      <c r="B37" s="15" t="n"/>
      <c r="C37" s="11" t="n"/>
      <c r="D37" s="11" t="n"/>
      <c r="E37" s="11" t="n"/>
      <c r="F37" s="11" t="n"/>
      <c r="G37" s="11" t="n"/>
      <c r="H37" s="11" t="n"/>
      <c r="I37" s="15" t="n"/>
      <c r="J37" s="14">
        <f>IF(I37="","",IF(I37&lt;TODAY(),"교체 필요",IF(I37-TODAY()&lt;=30,"30일 이내","사용 중")))</f>
        <v/>
      </c>
      <c r="K37" s="11" t="n"/>
    </row>
    <row r="38" ht="24" customHeight="1">
      <c r="A38" s="11" t="n">
        <v>33</v>
      </c>
      <c r="B38" s="15" t="n"/>
      <c r="C38" s="11" t="n"/>
      <c r="D38" s="11" t="n"/>
      <c r="E38" s="11" t="n"/>
      <c r="F38" s="11" t="n"/>
      <c r="G38" s="11" t="n"/>
      <c r="H38" s="11" t="n"/>
      <c r="I38" s="15" t="n"/>
      <c r="J38" s="14">
        <f>IF(I38="","",IF(I38&lt;TODAY(),"교체 필요",IF(I38-TODAY()&lt;=30,"30일 이내","사용 중")))</f>
        <v/>
      </c>
      <c r="K38" s="11" t="n"/>
    </row>
    <row r="39" ht="24" customHeight="1">
      <c r="A39" s="11" t="n">
        <v>34</v>
      </c>
      <c r="B39" s="15" t="n"/>
      <c r="C39" s="11" t="n"/>
      <c r="D39" s="11" t="n"/>
      <c r="E39" s="11" t="n"/>
      <c r="F39" s="11" t="n"/>
      <c r="G39" s="11" t="n"/>
      <c r="H39" s="11" t="n"/>
      <c r="I39" s="15" t="n"/>
      <c r="J39" s="14">
        <f>IF(I39="","",IF(I39&lt;TODAY(),"교체 필요",IF(I39-TODAY()&lt;=30,"30일 이내","사용 중")))</f>
        <v/>
      </c>
      <c r="K39" s="11" t="n"/>
    </row>
    <row r="41">
      <c r="B41" s="10" t="inlineStr">
        <is>
          <t>지급 건수</t>
        </is>
      </c>
      <c r="C41" s="16">
        <f>COUNTA(E6:E39)</f>
        <v/>
      </c>
      <c r="D41" s="10" t="inlineStr">
        <is>
          <t>지급 수량</t>
        </is>
      </c>
      <c r="E41" s="16">
        <f>SUM(G6:G39)</f>
        <v/>
      </c>
      <c r="F41" s="10" t="inlineStr">
        <is>
          <t>교체 필요</t>
        </is>
      </c>
      <c r="G41" s="17">
        <f>COUNTIF(J6:J39,"교체 필요")</f>
        <v/>
      </c>
      <c r="H41" s="10" t="inlineStr">
        <is>
          <t>30일 이내</t>
        </is>
      </c>
      <c r="I41" s="16">
        <f>COUNTIF(J6:J39,"30일 이내")</f>
        <v/>
      </c>
    </row>
  </sheetData>
  <mergeCells count="4">
    <mergeCell ref="I1:I2"/>
    <mergeCell ref="A2:H2"/>
    <mergeCell ref="A4:K4"/>
    <mergeCell ref="A1:H1"/>
  </mergeCells>
  <conditionalFormatting sqref="J6:J39">
    <cfRule type="expression" priority="1" dxfId="0">
      <formula>ISNUMBER(SEARCH("교체 필요",J6))</formula>
    </cfRule>
    <cfRule type="expression" priority="2" dxfId="1">
      <formula>ISNUMBER(SEARCH("30일 이내",J6))</formula>
    </cfRule>
  </conditionalFormatting>
  <dataValidations count="4">
    <dataValidation sqref="E6:E39" showDropDown="0" showInputMessage="0" showErrorMessage="0" allowBlank="1" errorTitle="입력 확인" error="목록에서 고르세요(목록을 바꾸려면 [데이터] → [데이터 유효성 검사])" type="list">
      <formula1>"안전모,안전대,안전화,보안경,보안면,절연용 보호구,방열복,방진마스크,방독마스크,송기마스크,귀마개·귀덮개,보호장갑,방한복,기타"</formula1>
    </dataValidation>
    <dataValidation sqref="H6:H39" showDropDown="0" showInputMessage="0" showErrorMessage="0" allowBlank="1" errorTitle="입력 확인" error="목록에서 고르세요(목록을 바꾸려면 [데이터] → [데이터 유효성 검사])" type="list">
      <formula1>"신규 입사,정기 교체,파손·분실,작업 변경"</formula1>
    </dataValidation>
    <dataValidation sqref="B6:B39" showDropDown="0" showInputMessage="0" showErrorMessage="1" allowBlank="1" errorTitle="날짜 확인" error="날짜로 넣으세요(예: 2026-10-27)" type="date" operator="greaterThan">
      <formula1>36526</formula1>
    </dataValidation>
    <dataValidation sqref="I6:I39" showDropDown="0" showInputMessage="0" showErrorMessage="1" allowBlank="1" errorTitle="날짜 확인" error="날짜로 넣으세요(예: 2026-10-27)" type="date" operator="greaterThan">
      <formula1>36526</formula1>
    </dataValidation>
  </dataValidations>
  <printOptions horizontalCentered="1"/>
  <pageMargins left="0.4" right="0.4" top="0.5" bottom="0.55" header="0.2" footer="0.25"/>
  <pageSetup orientation="landscape" paperSize="9" fitToHeight="0" fitToWidth="1"/>
  <headerFooter>
    <oddHeader/>
    <oddFooter>&amp;C&amp;"맑은 고딕"&amp;8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79455"/>
    <outlinePr summaryBelow="1" summaryRight="1"/>
    <pageSetUpPr fitToPage="1"/>
  </sheetPr>
  <dimension ref="A1:H34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14" customWidth="1" min="4" max="4"/>
    <col width="30" customWidth="1" min="5" max="5"/>
    <col width="10" customWidth="1" min="6" max="6"/>
    <col width="26" customWidth="1" min="7" max="7"/>
    <col width="12" customWidth="1" min="8" max="8"/>
  </cols>
  <sheetData>
    <row r="1" ht="34" customHeight="1">
      <c r="A1" s="1" t="inlineStr">
        <is>
          <t>보호구 점검 기록</t>
        </is>
      </c>
    </row>
    <row r="2" ht="18" customHeight="1">
      <c r="A2" s="2" t="inlineStr">
        <is>
          <t>정기적으로 보호구 상태를 점검하고 불량은 바로 교체합니다</t>
        </is>
      </c>
    </row>
    <row r="4" ht="26" customHeight="1">
      <c r="A4" s="10" t="inlineStr">
        <is>
          <t>No</t>
        </is>
      </c>
      <c r="B4" s="10" t="inlineStr">
        <is>
          <t>점검일</t>
        </is>
      </c>
      <c r="C4" s="10" t="inlineStr">
        <is>
          <t>보관 장소·부서</t>
        </is>
      </c>
      <c r="D4" s="10" t="inlineStr">
        <is>
          <t>보호구 종류</t>
        </is>
      </c>
      <c r="E4" s="10" t="inlineStr">
        <is>
          <t>점검 내용</t>
        </is>
      </c>
      <c r="F4" s="10" t="inlineStr">
        <is>
          <t>결과</t>
        </is>
      </c>
      <c r="G4" s="10" t="inlineStr">
        <is>
          <t>조치</t>
        </is>
      </c>
      <c r="H4" s="10" t="inlineStr">
        <is>
          <t>다음 점검일</t>
        </is>
      </c>
    </row>
    <row r="5" ht="24" customHeight="1">
      <c r="A5" s="11" t="n">
        <v>1</v>
      </c>
      <c r="B5" s="12" t="inlineStr">
        <is>
          <t>2026-10-27</t>
        </is>
      </c>
      <c r="C5" s="13" t="inlineStr">
        <is>
          <t>용접 작업장</t>
        </is>
      </c>
      <c r="D5" s="13" t="inlineStr">
        <is>
          <t>보안면</t>
        </is>
      </c>
      <c r="E5" s="18" t="inlineStr">
        <is>
          <t>필터 렌즈 긁힘·변색, 머리띠 조임 상태</t>
        </is>
      </c>
      <c r="F5" s="13" t="inlineStr">
        <is>
          <t>불량</t>
        </is>
      </c>
      <c r="G5" s="18" t="inlineStr">
        <is>
          <t>필터 렌즈 교체 3개</t>
        </is>
      </c>
      <c r="H5" s="12" t="inlineStr">
        <is>
          <t>2026-11-27</t>
        </is>
      </c>
    </row>
    <row r="6" ht="24" customHeight="1">
      <c r="A6" s="11" t="n">
        <v>2</v>
      </c>
      <c r="B6" s="15" t="n"/>
      <c r="C6" s="11" t="n"/>
      <c r="D6" s="11" t="n"/>
      <c r="E6" s="19" t="n"/>
      <c r="F6" s="11" t="n"/>
      <c r="G6" s="19" t="n"/>
      <c r="H6" s="15" t="n"/>
    </row>
    <row r="7" ht="24" customHeight="1">
      <c r="A7" s="11" t="n">
        <v>3</v>
      </c>
      <c r="B7" s="15" t="n"/>
      <c r="C7" s="11" t="n"/>
      <c r="D7" s="11" t="n"/>
      <c r="E7" s="19" t="n"/>
      <c r="F7" s="11" t="n"/>
      <c r="G7" s="19" t="n"/>
      <c r="H7" s="15" t="n"/>
    </row>
    <row r="8" ht="24" customHeight="1">
      <c r="A8" s="11" t="n">
        <v>4</v>
      </c>
      <c r="B8" s="15" t="n"/>
      <c r="C8" s="11" t="n"/>
      <c r="D8" s="11" t="n"/>
      <c r="E8" s="19" t="n"/>
      <c r="F8" s="11" t="n"/>
      <c r="G8" s="19" t="n"/>
      <c r="H8" s="15" t="n"/>
    </row>
    <row r="9" ht="24" customHeight="1">
      <c r="A9" s="11" t="n">
        <v>5</v>
      </c>
      <c r="B9" s="15" t="n"/>
      <c r="C9" s="11" t="n"/>
      <c r="D9" s="11" t="n"/>
      <c r="E9" s="19" t="n"/>
      <c r="F9" s="11" t="n"/>
      <c r="G9" s="19" t="n"/>
      <c r="H9" s="15" t="n"/>
    </row>
    <row r="10" ht="24" customHeight="1">
      <c r="A10" s="11" t="n">
        <v>6</v>
      </c>
      <c r="B10" s="15" t="n"/>
      <c r="C10" s="11" t="n"/>
      <c r="D10" s="11" t="n"/>
      <c r="E10" s="19" t="n"/>
      <c r="F10" s="11" t="n"/>
      <c r="G10" s="19" t="n"/>
      <c r="H10" s="15" t="n"/>
    </row>
    <row r="11" ht="24" customHeight="1">
      <c r="A11" s="11" t="n">
        <v>7</v>
      </c>
      <c r="B11" s="15" t="n"/>
      <c r="C11" s="11" t="n"/>
      <c r="D11" s="11" t="n"/>
      <c r="E11" s="19" t="n"/>
      <c r="F11" s="11" t="n"/>
      <c r="G11" s="19" t="n"/>
      <c r="H11" s="15" t="n"/>
    </row>
    <row r="12" ht="24" customHeight="1">
      <c r="A12" s="11" t="n">
        <v>8</v>
      </c>
      <c r="B12" s="15" t="n"/>
      <c r="C12" s="11" t="n"/>
      <c r="D12" s="11" t="n"/>
      <c r="E12" s="19" t="n"/>
      <c r="F12" s="11" t="n"/>
      <c r="G12" s="19" t="n"/>
      <c r="H12" s="15" t="n"/>
    </row>
    <row r="13" ht="24" customHeight="1">
      <c r="A13" s="11" t="n">
        <v>9</v>
      </c>
      <c r="B13" s="15" t="n"/>
      <c r="C13" s="11" t="n"/>
      <c r="D13" s="11" t="n"/>
      <c r="E13" s="19" t="n"/>
      <c r="F13" s="11" t="n"/>
      <c r="G13" s="19" t="n"/>
      <c r="H13" s="15" t="n"/>
    </row>
    <row r="14" ht="24" customHeight="1">
      <c r="A14" s="11" t="n">
        <v>10</v>
      </c>
      <c r="B14" s="15" t="n"/>
      <c r="C14" s="11" t="n"/>
      <c r="D14" s="11" t="n"/>
      <c r="E14" s="19" t="n"/>
      <c r="F14" s="11" t="n"/>
      <c r="G14" s="19" t="n"/>
      <c r="H14" s="15" t="n"/>
    </row>
    <row r="15" ht="24" customHeight="1">
      <c r="A15" s="11" t="n">
        <v>11</v>
      </c>
      <c r="B15" s="15" t="n"/>
      <c r="C15" s="11" t="n"/>
      <c r="D15" s="11" t="n"/>
      <c r="E15" s="19" t="n"/>
      <c r="F15" s="11" t="n"/>
      <c r="G15" s="19" t="n"/>
      <c r="H15" s="15" t="n"/>
    </row>
    <row r="16" ht="24" customHeight="1">
      <c r="A16" s="11" t="n">
        <v>12</v>
      </c>
      <c r="B16" s="15" t="n"/>
      <c r="C16" s="11" t="n"/>
      <c r="D16" s="11" t="n"/>
      <c r="E16" s="19" t="n"/>
      <c r="F16" s="11" t="n"/>
      <c r="G16" s="19" t="n"/>
      <c r="H16" s="15" t="n"/>
    </row>
    <row r="17" ht="24" customHeight="1">
      <c r="A17" s="11" t="n">
        <v>13</v>
      </c>
      <c r="B17" s="15" t="n"/>
      <c r="C17" s="11" t="n"/>
      <c r="D17" s="11" t="n"/>
      <c r="E17" s="19" t="n"/>
      <c r="F17" s="11" t="n"/>
      <c r="G17" s="19" t="n"/>
      <c r="H17" s="15" t="n"/>
    </row>
    <row r="18" ht="24" customHeight="1">
      <c r="A18" s="11" t="n">
        <v>14</v>
      </c>
      <c r="B18" s="15" t="n"/>
      <c r="C18" s="11" t="n"/>
      <c r="D18" s="11" t="n"/>
      <c r="E18" s="19" t="n"/>
      <c r="F18" s="11" t="n"/>
      <c r="G18" s="19" t="n"/>
      <c r="H18" s="15" t="n"/>
    </row>
    <row r="19" ht="24" customHeight="1">
      <c r="A19" s="11" t="n">
        <v>15</v>
      </c>
      <c r="B19" s="15" t="n"/>
      <c r="C19" s="11" t="n"/>
      <c r="D19" s="11" t="n"/>
      <c r="E19" s="19" t="n"/>
      <c r="F19" s="11" t="n"/>
      <c r="G19" s="19" t="n"/>
      <c r="H19" s="15" t="n"/>
    </row>
    <row r="20" ht="24" customHeight="1">
      <c r="A20" s="11" t="n">
        <v>16</v>
      </c>
      <c r="B20" s="15" t="n"/>
      <c r="C20" s="11" t="n"/>
      <c r="D20" s="11" t="n"/>
      <c r="E20" s="19" t="n"/>
      <c r="F20" s="11" t="n"/>
      <c r="G20" s="19" t="n"/>
      <c r="H20" s="15" t="n"/>
    </row>
    <row r="21" ht="24" customHeight="1">
      <c r="A21" s="11" t="n">
        <v>17</v>
      </c>
      <c r="B21" s="15" t="n"/>
      <c r="C21" s="11" t="n"/>
      <c r="D21" s="11" t="n"/>
      <c r="E21" s="19" t="n"/>
      <c r="F21" s="11" t="n"/>
      <c r="G21" s="19" t="n"/>
      <c r="H21" s="15" t="n"/>
    </row>
    <row r="22" ht="24" customHeight="1">
      <c r="A22" s="11" t="n">
        <v>18</v>
      </c>
      <c r="B22" s="15" t="n"/>
      <c r="C22" s="11" t="n"/>
      <c r="D22" s="11" t="n"/>
      <c r="E22" s="19" t="n"/>
      <c r="F22" s="11" t="n"/>
      <c r="G22" s="19" t="n"/>
      <c r="H22" s="15" t="n"/>
    </row>
    <row r="23" ht="24" customHeight="1">
      <c r="A23" s="11" t="n">
        <v>19</v>
      </c>
      <c r="B23" s="15" t="n"/>
      <c r="C23" s="11" t="n"/>
      <c r="D23" s="11" t="n"/>
      <c r="E23" s="19" t="n"/>
      <c r="F23" s="11" t="n"/>
      <c r="G23" s="19" t="n"/>
      <c r="H23" s="15" t="n"/>
    </row>
    <row r="24" ht="24" customHeight="1">
      <c r="A24" s="11" t="n">
        <v>20</v>
      </c>
      <c r="B24" s="15" t="n"/>
      <c r="C24" s="11" t="n"/>
      <c r="D24" s="11" t="n"/>
      <c r="E24" s="19" t="n"/>
      <c r="F24" s="11" t="n"/>
      <c r="G24" s="19" t="n"/>
      <c r="H24" s="15" t="n"/>
    </row>
    <row r="25" ht="24" customHeight="1">
      <c r="A25" s="11" t="n">
        <v>21</v>
      </c>
      <c r="B25" s="15" t="n"/>
      <c r="C25" s="11" t="n"/>
      <c r="D25" s="11" t="n"/>
      <c r="E25" s="19" t="n"/>
      <c r="F25" s="11" t="n"/>
      <c r="G25" s="19" t="n"/>
      <c r="H25" s="15" t="n"/>
    </row>
    <row r="26" ht="24" customHeight="1">
      <c r="A26" s="11" t="n">
        <v>22</v>
      </c>
      <c r="B26" s="15" t="n"/>
      <c r="C26" s="11" t="n"/>
      <c r="D26" s="11" t="n"/>
      <c r="E26" s="19" t="n"/>
      <c r="F26" s="11" t="n"/>
      <c r="G26" s="19" t="n"/>
      <c r="H26" s="15" t="n"/>
    </row>
    <row r="27" ht="24" customHeight="1">
      <c r="A27" s="11" t="n">
        <v>23</v>
      </c>
      <c r="B27" s="15" t="n"/>
      <c r="C27" s="11" t="n"/>
      <c r="D27" s="11" t="n"/>
      <c r="E27" s="19" t="n"/>
      <c r="F27" s="11" t="n"/>
      <c r="G27" s="19" t="n"/>
      <c r="H27" s="15" t="n"/>
    </row>
    <row r="28" ht="24" customHeight="1">
      <c r="A28" s="11" t="n">
        <v>24</v>
      </c>
      <c r="B28" s="15" t="n"/>
      <c r="C28" s="11" t="n"/>
      <c r="D28" s="11" t="n"/>
      <c r="E28" s="19" t="n"/>
      <c r="F28" s="11" t="n"/>
      <c r="G28" s="19" t="n"/>
      <c r="H28" s="15" t="n"/>
    </row>
    <row r="29" ht="24" customHeight="1">
      <c r="A29" s="11" t="n">
        <v>25</v>
      </c>
      <c r="B29" s="15" t="n"/>
      <c r="C29" s="11" t="n"/>
      <c r="D29" s="11" t="n"/>
      <c r="E29" s="19" t="n"/>
      <c r="F29" s="11" t="n"/>
      <c r="G29" s="19" t="n"/>
      <c r="H29" s="15" t="n"/>
    </row>
    <row r="30" ht="24" customHeight="1">
      <c r="A30" s="11" t="n">
        <v>26</v>
      </c>
      <c r="B30" s="15" t="n"/>
      <c r="C30" s="11" t="n"/>
      <c r="D30" s="11" t="n"/>
      <c r="E30" s="19" t="n"/>
      <c r="F30" s="11" t="n"/>
      <c r="G30" s="19" t="n"/>
      <c r="H30" s="15" t="n"/>
    </row>
    <row r="31" ht="24" customHeight="1">
      <c r="A31" s="11" t="n">
        <v>27</v>
      </c>
      <c r="B31" s="15" t="n"/>
      <c r="C31" s="11" t="n"/>
      <c r="D31" s="11" t="n"/>
      <c r="E31" s="19" t="n"/>
      <c r="F31" s="11" t="n"/>
      <c r="G31" s="19" t="n"/>
      <c r="H31" s="15" t="n"/>
    </row>
    <row r="32" ht="24" customHeight="1">
      <c r="A32" s="11" t="n">
        <v>28</v>
      </c>
      <c r="B32" s="15" t="n"/>
      <c r="C32" s="11" t="n"/>
      <c r="D32" s="11" t="n"/>
      <c r="E32" s="19" t="n"/>
      <c r="F32" s="11" t="n"/>
      <c r="G32" s="19" t="n"/>
      <c r="H32" s="15" t="n"/>
    </row>
    <row r="33" ht="24" customHeight="1">
      <c r="A33" s="11" t="n">
        <v>29</v>
      </c>
      <c r="B33" s="15" t="n"/>
      <c r="C33" s="11" t="n"/>
      <c r="D33" s="11" t="n"/>
      <c r="E33" s="19" t="n"/>
      <c r="F33" s="11" t="n"/>
      <c r="G33" s="19" t="n"/>
      <c r="H33" s="15" t="n"/>
    </row>
    <row r="34" ht="24" customHeight="1">
      <c r="A34" s="11" t="n">
        <v>30</v>
      </c>
      <c r="B34" s="15" t="n"/>
      <c r="C34" s="11" t="n"/>
      <c r="D34" s="11" t="n"/>
      <c r="E34" s="19" t="n"/>
      <c r="F34" s="11" t="n"/>
      <c r="G34" s="19" t="n"/>
      <c r="H34" s="15" t="n"/>
    </row>
  </sheetData>
  <mergeCells count="2">
    <mergeCell ref="A2:F2"/>
    <mergeCell ref="A1:F1"/>
  </mergeCells>
  <conditionalFormatting sqref="F5:F34">
    <cfRule type="expression" priority="1" dxfId="0">
      <formula>ISNUMBER(SEARCH("불량",F5))</formula>
    </cfRule>
  </conditionalFormatting>
  <conditionalFormatting sqref="H5:H34">
    <cfRule type="expression" priority="2" dxfId="2">
      <formula>AND(H5&lt;&gt;"",H5&lt;TODAY())</formula>
    </cfRule>
  </conditionalFormatting>
  <dataValidations count="2">
    <dataValidation sqref="D5:D34" showDropDown="0" showInputMessage="0" showErrorMessage="0" allowBlank="1" errorTitle="입력 확인" error="목록에서 고르세요(목록을 바꾸려면 [데이터] → [데이터 유효성 검사])" type="list">
      <formula1>"안전모,안전대,안전화,보안경,보안면,절연용 보호구,방열복,방진마스크,방독마스크,송기마스크,귀마개·귀덮개,보호장갑,방한복,기타"</formula1>
    </dataValidation>
    <dataValidation sqref="F5:F34" showDropDown="0" showInputMessage="0" showErrorMessage="0" allowBlank="1" errorTitle="입력 확인" error="목록에서 고르세요(목록을 바꾸려면 [데이터] → [데이터 유효성 검사])" type="list">
      <formula1>"양호,불량,교체"</formula1>
    </dataValidation>
  </dataValidations>
  <printOptions horizontalCentered="1"/>
  <pageMargins left="0.4" right="0.4" top="0.5" bottom="0.55" header="0.2" footer="0.25"/>
  <pageSetup orientation="landscape" paperSize="9" fitToHeight="0" fitToWidth="1"/>
  <headerFooter>
    <oddHeader/>
    <oddFooter>&amp;C&amp;"맑은 고딕"&amp;8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79009"/>
    <outlinePr summaryBelow="1" summaryRight="1"/>
    <pageSetUpPr fitToPage="1"/>
  </sheetPr>
  <dimension ref="A1:C17"/>
  <sheetViews>
    <sheetView showGridLines="0" zoomScale="100" workbookViewId="0">
      <selection activeCell="A1" sqref="A1"/>
    </sheetView>
  </sheetViews>
  <sheetFormatPr baseColWidth="8" defaultRowHeight="15"/>
  <cols>
    <col width="6" customWidth="1" min="1" max="1"/>
    <col width="64" customWidth="1" min="2" max="2"/>
    <col width="30" customWidth="1" min="3" max="3"/>
  </cols>
  <sheetData>
    <row r="1" ht="34" customHeight="1">
      <c r="A1" s="1" t="inlineStr">
        <is>
          <t>작업별 보호구 지급 기준</t>
        </is>
      </c>
    </row>
    <row r="2" ht="18" customHeight="1">
      <c r="A2" s="2" t="inlineStr">
        <is>
          <t>산업안전보건기준에 관한 규칙 제32조제1항 (2026. 3. 2 시행본 기준)</t>
        </is>
      </c>
    </row>
    <row r="4" ht="24" customHeight="1">
      <c r="A4" s="10" t="inlineStr">
        <is>
          <t>호</t>
        </is>
      </c>
      <c r="B4" s="10" t="inlineStr">
        <is>
          <t>작업</t>
        </is>
      </c>
      <c r="C4" s="10" t="inlineStr">
        <is>
          <t>보호구</t>
        </is>
      </c>
    </row>
    <row r="5" ht="24" customHeight="1">
      <c r="A5" s="20" t="inlineStr">
        <is>
          <t>1</t>
        </is>
      </c>
      <c r="B5" s="19" t="inlineStr">
        <is>
          <t>물체가 떨어지거나 날아올 위험 또는 근로자가 추락할 위험이 있는 작업</t>
        </is>
      </c>
      <c r="C5" s="21" t="inlineStr">
        <is>
          <t>안전모</t>
        </is>
      </c>
    </row>
    <row r="6" ht="24" customHeight="1">
      <c r="A6" s="20" t="inlineStr">
        <is>
          <t>2</t>
        </is>
      </c>
      <c r="B6" s="19" t="inlineStr">
        <is>
          <t>높이 또는 깊이 2미터 이상의 추락할 위험이 있는 장소에서 하는 작업</t>
        </is>
      </c>
      <c r="C6" s="21" t="inlineStr">
        <is>
          <t>안전대(安全帶)</t>
        </is>
      </c>
    </row>
    <row r="7" ht="34" customHeight="1">
      <c r="A7" s="20" t="inlineStr">
        <is>
          <t>3</t>
        </is>
      </c>
      <c r="B7" s="19" t="inlineStr">
        <is>
          <t>물체의 낙하ㆍ충격, 물체에의 끼임, 감전 또는 정전기의 대전(帶電)에 의한 위험이 있는 작업</t>
        </is>
      </c>
      <c r="C7" s="21" t="inlineStr">
        <is>
          <t>안전화</t>
        </is>
      </c>
    </row>
    <row r="8" ht="24" customHeight="1">
      <c r="A8" s="20" t="inlineStr">
        <is>
          <t>4</t>
        </is>
      </c>
      <c r="B8" s="19" t="inlineStr">
        <is>
          <t>물체가 흩날릴 위험이 있는 작업</t>
        </is>
      </c>
      <c r="C8" s="21" t="inlineStr">
        <is>
          <t>보안경</t>
        </is>
      </c>
    </row>
    <row r="9" ht="24" customHeight="1">
      <c r="A9" s="20" t="inlineStr">
        <is>
          <t>5</t>
        </is>
      </c>
      <c r="B9" s="19" t="inlineStr">
        <is>
          <t>용접 시 불꽃이나 물체가 흩날릴 위험이 있는 작업</t>
        </is>
      </c>
      <c r="C9" s="21" t="inlineStr">
        <is>
          <t>보안면</t>
        </is>
      </c>
    </row>
    <row r="10" ht="24" customHeight="1">
      <c r="A10" s="20" t="inlineStr">
        <is>
          <t>6</t>
        </is>
      </c>
      <c r="B10" s="19" t="inlineStr">
        <is>
          <t>감전의 위험이 있는 작업</t>
        </is>
      </c>
      <c r="C10" s="21" t="inlineStr">
        <is>
          <t>절연용 보호구</t>
        </is>
      </c>
    </row>
    <row r="11" ht="24" customHeight="1">
      <c r="A11" s="20" t="inlineStr">
        <is>
          <t>7</t>
        </is>
      </c>
      <c r="B11" s="19" t="inlineStr">
        <is>
          <t>고열에 의한 화상 등의 위험이 있는 작업</t>
        </is>
      </c>
      <c r="C11" s="21" t="inlineStr">
        <is>
          <t>방열복</t>
        </is>
      </c>
    </row>
    <row r="12" ht="24" customHeight="1">
      <c r="A12" s="20" t="inlineStr">
        <is>
          <t>8</t>
        </is>
      </c>
      <c r="B12" s="19" t="inlineStr">
        <is>
          <t>선창 등에서 분진(粉塵)이 심하게 발생하는 하역작업</t>
        </is>
      </c>
      <c r="C12" s="21" t="inlineStr">
        <is>
          <t>방진마스크</t>
        </is>
      </c>
    </row>
    <row r="13" ht="24" customHeight="1">
      <c r="A13" s="20" t="inlineStr">
        <is>
          <t>9</t>
        </is>
      </c>
      <c r="B13" s="19" t="inlineStr">
        <is>
          <t>섭씨 영하 18도 이하인 급냉동어창에서 하는 하역작업</t>
        </is>
      </c>
      <c r="C13" s="21" t="inlineStr">
        <is>
          <t>방한모ㆍ방한복ㆍ방한화ㆍ방한장갑</t>
        </is>
      </c>
    </row>
    <row r="14" ht="34" customHeight="1">
      <c r="A14" s="20" t="inlineStr">
        <is>
          <t>10</t>
        </is>
      </c>
      <c r="B14" s="19" t="inlineStr">
        <is>
          <t>물건을 운반하거나 수거ㆍ배달하기 위하여 「도로교통법」 제2조제18호가목5)에 따른 이륜자동차 또는 같은 법 제2조제19호에 따른 원동기장치자전거를 운행하는 작업</t>
        </is>
      </c>
      <c r="C14" s="21" t="inlineStr">
        <is>
          <t>「도로교통법 시행규칙」 제32조제1항 각 호의 기준에 적합한 승차용 안전모</t>
        </is>
      </c>
    </row>
    <row r="15" ht="34" customHeight="1">
      <c r="A15" s="20" t="inlineStr">
        <is>
          <t>11</t>
        </is>
      </c>
      <c r="B15" s="19" t="inlineStr">
        <is>
          <t>물건을 운반하거나 수거ㆍ배달하기 위해 「도로교통법」 제2조제21호의2에 따른 자전거등을 운행하는 작업</t>
        </is>
      </c>
      <c r="C15" s="21" t="inlineStr">
        <is>
          <t>「도로교통법 시행규칙」 제32조제2항의 기준에 적합한 안전모</t>
        </is>
      </c>
    </row>
    <row r="17" ht="30" customHeight="1">
      <c r="A17" s="2" t="inlineStr">
        <is>
          <t>② 보호구를 받거나 착용지시를 받은 근로자는 그 보호구를 착용해야 합니다. — 사업장 작업별 지급 기준(소음 작업의 귀마개 등 다른 조문·작업환경 기준)은 아래 줄에 덧붙여 관리하세요.</t>
        </is>
      </c>
    </row>
  </sheetData>
  <mergeCells count="3">
    <mergeCell ref="A1:C1"/>
    <mergeCell ref="A2:C2"/>
    <mergeCell ref="A17:C17"/>
  </mergeCells>
  <printOptions horizontalCentered="1"/>
  <pageMargins left="0.4" right="0.4" top="0.5" bottom="0.55" header="0.2" footer="0.25"/>
  <pageSetup orientation="portrait" paperSize="9" fitToHeight="0" fitToWidth="1"/>
  <headerFooter>
    <oddHeader/>
    <oddFooter>&amp;C&amp;"맑은 고딕"&amp;8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2026-10-27T07:23:22Z</dcterms:created>
  <dcterms:modified xmlns:dcterms="http://purl.org/dc/terms/" xmlns:xsi="http://www.w3.org/2001/XMLSchema-instance" xsi:type="dcterms:W3CDTF">2026-10-27T07:23:22Z</dcterms:modified>
</cp:coreProperties>
</file>