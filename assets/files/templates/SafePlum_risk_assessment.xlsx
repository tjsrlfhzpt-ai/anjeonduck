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작성 안내" sheetId="1" state="visible" r:id="rId1"/>
    <sheet xmlns:r="http://schemas.openxmlformats.org/officeDocument/2006/relationships" name="위험성평가표" sheetId="2" state="visible" r:id="rId2"/>
    <sheet xmlns:r="http://schemas.openxmlformats.org/officeDocument/2006/relationships" name="평가기준" sheetId="3" state="visible" r:id="rId3"/>
  </sheets>
  <definedNames>
    <definedName name="_xlnm.Print_Titles" localSheetId="1">'위험성평가표'!$6:$6</definedName>
    <definedName name="_xlnm.Print_Area" localSheetId="1">'위험성평가표'!$A$1:$U$28</definedName>
    <definedName name="_xlnm.Print_Area" localSheetId="2">'평가기준'!$A$1:$G$31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맑은 고딕"/>
      <b val="1"/>
      <color rgb="0013233A"/>
      <sz val="18"/>
    </font>
    <font>
      <name val="맑은 고딕"/>
      <color rgb="006B7280"/>
      <sz val="9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b val="1"/>
      <color rgb="0013233A"/>
      <sz val="9.5"/>
    </font>
    <font>
      <name val="맑은 고딕"/>
      <color rgb="001F2937"/>
      <sz val="10"/>
    </font>
    <font>
      <name val="맑은 고딕"/>
      <color rgb="006B7280"/>
      <sz val="8.5"/>
    </font>
    <font>
      <name val="맑은 고딕"/>
      <color rgb="001F2937"/>
      <sz val="9.5"/>
    </font>
    <font>
      <name val="맑은 고딕"/>
      <b val="1"/>
      <color rgb="001F2937"/>
      <sz val="9.5"/>
    </font>
    <font>
      <name val="맑은 고딕"/>
      <i val="1"/>
      <color rgb="008A94A3"/>
      <sz val="9.5"/>
    </font>
    <font>
      <name val="맑은 고딕"/>
      <b val="1"/>
      <color rgb="00D92D20"/>
      <sz val="10"/>
    </font>
    <font>
      <name val="맑은 고딕"/>
      <b val="1"/>
      <color rgb="001F2937"/>
      <sz val="10"/>
    </font>
    <font>
      <name val="맑은 고딕"/>
      <b val="1"/>
      <color rgb="0013233A"/>
      <sz val="11"/>
    </font>
    <font>
      <name val="맑은 고딕"/>
      <b val="1"/>
      <color rgb="0005603A"/>
      <sz val="10"/>
    </font>
    <font>
      <name val="맑은 고딕"/>
      <b val="1"/>
      <color rgb="00FFFFFF"/>
      <sz val="10"/>
    </font>
    <font>
      <name val="맑은 고딕"/>
      <b val="1"/>
      <color rgb="00D92D20"/>
      <sz val="11"/>
    </font>
    <font>
      <name val="맑은 고딕"/>
      <b val="1"/>
      <color rgb="0013233A"/>
      <sz val="9"/>
    </font>
    <font>
      <name val="맑은 고딕"/>
      <b val="1"/>
      <color rgb="0013233A"/>
      <sz val="10"/>
    </font>
    <font>
      <name val="맑은 고딕"/>
      <i val="1"/>
      <color rgb="006B7280"/>
      <sz val="9"/>
    </font>
  </fonts>
  <fills count="10">
    <fill>
      <patternFill/>
    </fill>
    <fill>
      <patternFill patternType="gray125"/>
    </fill>
    <fill>
      <patternFill patternType="solid">
        <fgColor rgb="00E7ECF4"/>
        <bgColor rgb="00E7ECF4"/>
      </patternFill>
    </fill>
    <fill>
      <patternFill patternType="solid">
        <fgColor rgb="00F3F5F9"/>
        <bgColor rgb="00F3F5F9"/>
      </patternFill>
    </fill>
    <fill>
      <patternFill patternType="solid">
        <fgColor rgb="00A6E3C1"/>
        <bgColor rgb="00A6E3C1"/>
      </patternFill>
    </fill>
    <fill>
      <patternFill patternType="solid">
        <fgColor rgb="00D1FADF"/>
        <bgColor rgb="00D1FADF"/>
      </patternFill>
    </fill>
    <fill>
      <patternFill patternType="solid">
        <fgColor rgb="00F79009"/>
        <bgColor rgb="00F79009"/>
      </patternFill>
    </fill>
    <fill>
      <patternFill patternType="solid">
        <fgColor rgb="00D92D20"/>
        <bgColor rgb="00D92D20"/>
      </patternFill>
    </fill>
    <fill>
      <patternFill patternType="solid">
        <fgColor rgb="00B42318"/>
        <bgColor rgb="00B42318"/>
      </patternFill>
    </fill>
    <fill>
      <patternFill patternType="solid">
        <fgColor rgb="00FFF4CC"/>
        <bgColor rgb="00FFF4CC"/>
      </patternFill>
    </fill>
  </fills>
  <borders count="2">
    <border>
      <left/>
      <right/>
      <top/>
      <bottom/>
      <diagonal/>
    </border>
    <border>
      <left style="thin">
        <color rgb="008C97A8"/>
      </left>
      <right style="thin">
        <color rgb="008C97A8"/>
      </right>
      <top style="thin">
        <color rgb="008C97A8"/>
      </top>
      <bottom style="thin">
        <color rgb="008C97A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name val="맑은 고딕"/>
        <b val="1"/>
        <color rgb="00FFFFFF"/>
      </font>
      <fill>
        <patternFill patternType="solid">
          <fgColor rgb="00B42318"/>
          <bgColor rgb="00B42318"/>
        </patternFill>
      </fill>
    </dxf>
    <dxf>
      <font>
        <name val="맑은 고딕"/>
        <b val="1"/>
        <color rgb="00FFFFFF"/>
      </font>
      <fill>
        <patternFill patternType="solid">
          <fgColor rgb="00D92D20"/>
          <bgColor rgb="00D92D20"/>
        </patternFill>
      </fill>
    </dxf>
    <dxf>
      <font>
        <name val="맑은 고딕"/>
        <b val="1"/>
        <color rgb="00FFFFFF"/>
      </font>
      <fill>
        <patternFill patternType="solid">
          <fgColor rgb="00F79009"/>
          <bgColor rgb="00F79009"/>
        </patternFill>
      </fill>
    </dxf>
    <dxf>
      <font>
        <name val="맑은 고딕"/>
        <b val="1"/>
        <color rgb="0005603A"/>
      </font>
      <fill>
        <patternFill patternType="solid">
          <fgColor rgb="00A6E3C1"/>
          <bgColor rgb="00A6E3C1"/>
        </patternFill>
      </fill>
    </dxf>
    <dxf>
      <font>
        <name val="맑은 고딕"/>
        <b val="1"/>
        <color rgb="0005603A"/>
      </font>
      <fill>
        <patternFill patternType="solid">
          <fgColor rgb="00D1FADF"/>
          <bgColor rgb="00D1FADF"/>
        </patternFill>
      </fill>
    </dxf>
    <dxf>
      <fill>
        <patternFill patternType="solid">
          <fgColor rgb="00FFF4CC"/>
          <bgColor rgb="00FFF4CC"/>
        </patternFill>
      </fill>
    </dxf>
    <dxf>
      <fill>
        <patternFill patternType="solid">
          <fgColor rgb="00D1FADF"/>
          <bgColor rgb="00D1FADF"/>
        </patternFill>
      </fill>
    </dxf>
    <dxf>
      <fill>
        <patternFill patternType="solid">
          <fgColor rgb="00A6E3C1"/>
          <bgColor rgb="00A6E3C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8A2B3"/>
    <outlinePr summaryBelow="1" summaryRight="1"/>
    <pageSetUpPr fitToPage="1"/>
  </sheetPr>
  <dimension ref="A1:B19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34" customHeight="1">
      <c r="A1" s="1" t="inlineStr">
        <is>
          <t>위험성평가표 — 작성 안내</t>
        </is>
      </c>
    </row>
    <row r="2" ht="18" customHeight="1">
      <c r="A2" s="2" t="inlineStr">
        <is>
          <t>SafePlum 무료 양식 · safeplum.com — 사업장 사정에 맞게 고쳐 쓰세요</t>
        </is>
      </c>
    </row>
    <row r="4">
      <c r="A4" s="3" t="inlineStr">
        <is>
          <t>■</t>
        </is>
      </c>
      <c r="B4" s="4" t="inlineStr">
        <is>
          <t>이렇게 쓰세요</t>
        </is>
      </c>
    </row>
    <row r="5" ht="18" customHeight="1">
      <c r="B5" s="5" t="inlineStr">
        <is>
          <t>1) '위험성평가표' 시트 맨 위에 사업장·평가 구분(최초·정기·수시·상시)·평가일·참여자를 적습니다.</t>
        </is>
      </c>
    </row>
    <row r="6" ht="32" customHeight="1">
      <c r="B6" s="5" t="inlineStr">
        <is>
          <t>2) 공정(작업)마다 유해·위험요인을 '~하다가 ~로 ~할 위험' 형태로 적고, 지금 하고 있는 안전조치를 적습니다.</t>
        </is>
      </c>
    </row>
    <row r="7" ht="18" customHeight="1">
      <c r="B7" s="5" t="inlineStr">
        <is>
          <t>3) 가능성(1~5)·중대성(1~4)을 넣으면 위험성(곱)과 등급이 자동으로 나옵니다.</t>
        </is>
      </c>
    </row>
    <row r="8" ht="32" customHeight="1">
      <c r="B8" s="5" t="inlineStr">
        <is>
          <t>4) 허용 기준(평가기준 시트 C22, 기본 6점)을 넘는 줄은 감소대책·담당자·개선 예정일을 적습니다. 비어 있으면 노란색으로 표시됩니다.</t>
        </is>
      </c>
    </row>
    <row r="9" ht="18" customHeight="1">
      <c r="B9" s="5" t="inlineStr">
        <is>
          <t>5) 개선을 마치면 개선 후 가능성·중대성을 다시 넣어 재평가하고 완료일을 적습니다.</t>
        </is>
      </c>
    </row>
    <row r="11">
      <c r="A11" s="3" t="inlineStr">
        <is>
          <t>■</t>
        </is>
      </c>
      <c r="B11" s="4" t="inlineStr">
        <is>
          <t>감소대책 우선순위</t>
        </is>
      </c>
    </row>
    <row r="12" ht="32" customHeight="1">
      <c r="B12" s="5" t="inlineStr">
        <is>
          <t>제거·대체 → 공학적 대책(방호장치·차단·환기) → 관리적 대책(절차·허가·교육·감시인) → 보호구 순으로 검토합니다.</t>
        </is>
      </c>
    </row>
    <row r="13" ht="18" customHeight="1">
      <c r="B13" s="5" t="inlineStr">
        <is>
          <t>'안전교육 실시', '보호구 착용'만 적기보다 무엇을 어떻게 바꾸는지 구체적으로 적어야 현장에서 통합니다.</t>
        </is>
      </c>
    </row>
    <row r="15">
      <c r="A15" s="3" t="inlineStr">
        <is>
          <t>■</t>
        </is>
      </c>
      <c r="B15" s="4" t="inlineStr">
        <is>
          <t>참여와 공유</t>
        </is>
      </c>
    </row>
    <row r="16" ht="32" customHeight="1">
      <c r="B16" s="5" t="inlineStr">
        <is>
          <t>위험성평가는 해당 작업 근로자가 참여해야 하고(법 제36조제2항), 결과는 작업 전 TBM 등으로 근로자에게 알립니다.</t>
        </is>
      </c>
    </row>
    <row r="17" ht="18" customHeight="1">
      <c r="B17" s="5" t="inlineStr">
        <is>
          <t>결과와 조치 사항은 기록해 3년간 보존합니다(시행규칙 제37조).</t>
        </is>
      </c>
    </row>
    <row r="19" ht="30" customHeight="1">
      <c r="B19" s="6" t="inlineStr">
        <is>
          <t>근거: 산업안전보건법 제36조, 시행규칙 제37조, 「사업장 위험성평가에 관한 지침」 — 평가기준·등급은 예시이며 사업장 규정에 맞게 고쳐 쓰세요. SafePlum에서 화면으로 작성하려면 safeplum.com/tools/risk/</t>
        </is>
      </c>
    </row>
  </sheetData>
  <mergeCells count="2">
    <mergeCell ref="A2:B2"/>
    <mergeCell ref="A1:B1"/>
  </mergeCells>
  <printOptions horizontalCentered="1"/>
  <pageMargins left="0.4" right="0.4" top="0.5" bottom="0.55" header="0.2" footer="0.2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13233A"/>
    <outlinePr summaryBelow="1" summaryRight="1"/>
    <pageSetUpPr fitToPage="1"/>
  </sheetPr>
  <dimension ref="A1:U28"/>
  <sheetViews>
    <sheetView showGridLines="0"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11" customWidth="1" min="2" max="2"/>
    <col width="13" customWidth="1" min="3" max="3"/>
    <col width="9" customWidth="1" min="4" max="4"/>
    <col width="13" customWidth="1" min="5" max="5"/>
    <col width="28" customWidth="1" min="6" max="6"/>
    <col width="14" customWidth="1" min="7" max="7"/>
    <col width="18" customWidth="1" min="8" max="8"/>
    <col width="6.5" customWidth="1" min="9" max="9"/>
    <col width="6.5" customWidth="1" min="10" max="10"/>
    <col width="6.5" customWidth="1" min="11" max="11"/>
    <col width="8" customWidth="1" min="12" max="12"/>
    <col width="28" customWidth="1" min="13" max="13"/>
    <col width="6.5" customWidth="1" min="14" max="14"/>
    <col width="6.5" customWidth="1" min="15" max="15"/>
    <col width="6.5" customWidth="1" min="16" max="16"/>
    <col width="8" customWidth="1" min="17" max="17"/>
    <col width="9" customWidth="1" min="18" max="18"/>
    <col width="10" customWidth="1" min="19" max="19"/>
    <col width="10" customWidth="1" min="20" max="20"/>
    <col width="9" customWidth="1" min="21" max="21"/>
  </cols>
  <sheetData>
    <row r="1" ht="18" customHeight="1">
      <c r="A1" s="1" t="inlineStr">
        <is>
          <t>위험성평가표</t>
        </is>
      </c>
      <c r="R1" s="7" t="inlineStr">
        <is>
          <t>결
재</t>
        </is>
      </c>
      <c r="S1" s="7" t="inlineStr">
        <is>
          <t>담당</t>
        </is>
      </c>
      <c r="T1" s="7" t="inlineStr">
        <is>
          <t>검토</t>
        </is>
      </c>
      <c r="U1" s="7" t="inlineStr">
        <is>
          <t>승인</t>
        </is>
      </c>
    </row>
    <row r="2" ht="30" customHeight="1">
      <c r="A2" s="2" t="inlineStr">
        <is>
          <t>「사업장 위험성평가에 관한 지침」(고용노동부 고시)에 따른 유해·위험요인 파악 → 위험성 결정 → 감소대책 → 재평가 기록</t>
        </is>
      </c>
      <c r="R2" s="7" t="n"/>
      <c r="S2" s="8" t="n"/>
      <c r="T2" s="8" t="n"/>
      <c r="U2" s="8" t="n"/>
    </row>
    <row r="4" ht="24" customHeight="1">
      <c r="A4" s="9" t="inlineStr">
        <is>
          <t>사업장</t>
        </is>
      </c>
      <c r="B4" s="9" t="n"/>
      <c r="C4" s="10" t="n"/>
      <c r="D4" s="10" t="n"/>
      <c r="E4" s="10" t="n"/>
      <c r="F4" s="10" t="n"/>
      <c r="G4" s="9" t="inlineStr">
        <is>
          <t>평가 구분</t>
        </is>
      </c>
      <c r="H4" s="10" t="n"/>
      <c r="I4" s="9" t="inlineStr">
        <is>
          <t>평가일</t>
        </is>
      </c>
      <c r="J4" s="9" t="n"/>
      <c r="K4" s="10" t="n"/>
      <c r="L4" s="10" t="n"/>
      <c r="M4" s="10" t="n"/>
      <c r="N4" s="9" t="inlineStr">
        <is>
          <t>평가자(참여자)</t>
        </is>
      </c>
      <c r="O4" s="9" t="n"/>
      <c r="P4" s="9" t="n"/>
      <c r="Q4" s="10" t="n"/>
      <c r="R4" s="10" t="n"/>
      <c r="S4" s="10" t="n"/>
      <c r="T4" s="10" t="n"/>
      <c r="U4" s="10" t="n"/>
    </row>
    <row r="5" ht="16" customHeight="1">
      <c r="A5" s="11" t="inlineStr">
        <is>
          <t>흰 칸에 입력 · 회색 기울임 줄은 예시(지우고 쓰기) · 위험성·등급은 가능성×중대성으로 자동 계산 · 판단 기준은 '평가기준' 시트에서 사업장 기준으로 고쳐 쓰세요</t>
        </is>
      </c>
    </row>
    <row r="6" ht="34" customHeight="1">
      <c r="A6" s="9" t="inlineStr">
        <is>
          <t>No</t>
        </is>
      </c>
      <c r="B6" s="9" t="inlineStr">
        <is>
          <t>공정(작업)</t>
        </is>
      </c>
      <c r="C6" s="9" t="inlineStr">
        <is>
          <t>세부 작업</t>
        </is>
      </c>
      <c r="D6" s="9" t="inlineStr">
        <is>
          <t>위험 분류</t>
        </is>
      </c>
      <c r="E6" s="9" t="inlineStr">
        <is>
          <t>원인</t>
        </is>
      </c>
      <c r="F6" s="9" t="inlineStr">
        <is>
          <t>유해·위험요인 및 위험성</t>
        </is>
      </c>
      <c r="G6" s="9" t="inlineStr">
        <is>
          <t>관련 근거
(법적 기준)</t>
        </is>
      </c>
      <c r="H6" s="9" t="inlineStr">
        <is>
          <t>현재 안전조치</t>
        </is>
      </c>
      <c r="I6" s="9" t="inlineStr">
        <is>
          <t>가능성
(빈도)</t>
        </is>
      </c>
      <c r="J6" s="9" t="inlineStr">
        <is>
          <t>중대성
(강도)</t>
        </is>
      </c>
      <c r="K6" s="9" t="inlineStr">
        <is>
          <t>위험성</t>
        </is>
      </c>
      <c r="L6" s="9" t="inlineStr">
        <is>
          <t>등급</t>
        </is>
      </c>
      <c r="M6" s="9" t="inlineStr">
        <is>
          <t>감소대책</t>
        </is>
      </c>
      <c r="N6" s="9" t="inlineStr">
        <is>
          <t>개선 후
가능성</t>
        </is>
      </c>
      <c r="O6" s="9" t="inlineStr">
        <is>
          <t>개선 후
중대성</t>
        </is>
      </c>
      <c r="P6" s="9" t="inlineStr">
        <is>
          <t>개선 후
위험성</t>
        </is>
      </c>
      <c r="Q6" s="9" t="inlineStr">
        <is>
          <t>개선 후
등급</t>
        </is>
      </c>
      <c r="R6" s="9" t="inlineStr">
        <is>
          <t>담당자</t>
        </is>
      </c>
      <c r="S6" s="9" t="inlineStr">
        <is>
          <t>개선
예정일</t>
        </is>
      </c>
      <c r="T6" s="9" t="inlineStr">
        <is>
          <t>완료일</t>
        </is>
      </c>
      <c r="U6" s="9" t="inlineStr">
        <is>
          <t>비고</t>
        </is>
      </c>
    </row>
    <row r="7" ht="28" customHeight="1">
      <c r="A7" s="12" t="n">
        <v>1</v>
      </c>
      <c r="B7" s="13" t="inlineStr">
        <is>
          <t>가공</t>
        </is>
      </c>
      <c r="C7" s="13" t="inlineStr">
        <is>
          <t>프레스 금형 교체</t>
        </is>
      </c>
      <c r="D7" s="13" t="inlineStr">
        <is>
          <t>기계적 요인</t>
        </is>
      </c>
      <c r="E7" s="13" t="inlineStr">
        <is>
          <t>금형 교체 중 슬라이드 하강</t>
        </is>
      </c>
      <c r="F7" s="14" t="inlineStr">
        <is>
          <t>금형 교체 중 슬라이드가 내려와 손이 끼일 위험</t>
        </is>
      </c>
      <c r="G7" s="13" t="inlineStr">
        <is>
          <t>안전보건규칙 제104조</t>
        </is>
      </c>
      <c r="H7" s="14" t="inlineStr">
        <is>
          <t>작업 전 전원 차단(구두 지시)</t>
        </is>
      </c>
      <c r="I7" s="13" t="n">
        <v>3</v>
      </c>
      <c r="J7" s="13" t="n">
        <v>4</v>
      </c>
      <c r="K7" s="15">
        <f>IF(OR(I7="",J7=""),"",I7*J7)</f>
        <v/>
      </c>
      <c r="L7" s="15">
        <f>IF(K7="","",INDEX(평가기준!$C$15:$C$19,MATCH(K7,평가기준!$A$15:$A$19,1)))</f>
        <v/>
      </c>
      <c r="M7" s="14" t="inlineStr">
        <is>
          <t>안전블록 설치·전원 잠금(LOTO) 표지 부착, 2인 1조 작업</t>
        </is>
      </c>
      <c r="N7" s="13" t="n">
        <v>1</v>
      </c>
      <c r="O7" s="13" t="n">
        <v>4</v>
      </c>
      <c r="P7" s="15">
        <f>IF(OR(N7="",O7=""),"",N7*O7)</f>
        <v/>
      </c>
      <c r="Q7" s="15">
        <f>IF(P7="","",INDEX(평가기준!$C$15:$C$19,MATCH(P7,평가기준!$A$15:$A$19,1)))</f>
        <v/>
      </c>
      <c r="R7" s="13" t="inlineStr">
        <is>
          <t>생산1팀</t>
        </is>
      </c>
      <c r="S7" s="16" t="inlineStr">
        <is>
          <t>2026-11-15</t>
        </is>
      </c>
      <c r="T7" s="17" t="n"/>
      <c r="U7" s="12" t="n"/>
    </row>
    <row r="8" ht="28" customHeight="1">
      <c r="A8" s="12" t="n">
        <v>2</v>
      </c>
      <c r="B8" s="12" t="n"/>
      <c r="C8" s="12" t="n"/>
      <c r="D8" s="12" t="n"/>
      <c r="E8" s="12" t="n"/>
      <c r="F8" s="18" t="n"/>
      <c r="G8" s="12" t="n"/>
      <c r="H8" s="18" t="n"/>
      <c r="I8" s="12" t="n"/>
      <c r="J8" s="12" t="n"/>
      <c r="K8" s="15">
        <f>IF(OR(I8="",J8=""),"",I8*J8)</f>
        <v/>
      </c>
      <c r="L8" s="15">
        <f>IF(K8="","",INDEX(평가기준!$C$15:$C$19,MATCH(K8,평가기준!$A$15:$A$19,1)))</f>
        <v/>
      </c>
      <c r="M8" s="18" t="n"/>
      <c r="N8" s="12" t="n"/>
      <c r="O8" s="12" t="n"/>
      <c r="P8" s="15">
        <f>IF(OR(N8="",O8=""),"",N8*O8)</f>
        <v/>
      </c>
      <c r="Q8" s="15">
        <f>IF(P8="","",INDEX(평가기준!$C$15:$C$19,MATCH(P8,평가기준!$A$15:$A$19,1)))</f>
        <v/>
      </c>
      <c r="R8" s="12" t="n"/>
      <c r="S8" s="17" t="n"/>
      <c r="T8" s="17" t="n"/>
      <c r="U8" s="12" t="n"/>
    </row>
    <row r="9" ht="28" customHeight="1">
      <c r="A9" s="12" t="n">
        <v>3</v>
      </c>
      <c r="B9" s="12" t="n"/>
      <c r="C9" s="12" t="n"/>
      <c r="D9" s="12" t="n"/>
      <c r="E9" s="12" t="n"/>
      <c r="F9" s="18" t="n"/>
      <c r="G9" s="12" t="n"/>
      <c r="H9" s="18" t="n"/>
      <c r="I9" s="12" t="n"/>
      <c r="J9" s="12" t="n"/>
      <c r="K9" s="15">
        <f>IF(OR(I9="",J9=""),"",I9*J9)</f>
        <v/>
      </c>
      <c r="L9" s="15">
        <f>IF(K9="","",INDEX(평가기준!$C$15:$C$19,MATCH(K9,평가기준!$A$15:$A$19,1)))</f>
        <v/>
      </c>
      <c r="M9" s="18" t="n"/>
      <c r="N9" s="12" t="n"/>
      <c r="O9" s="12" t="n"/>
      <c r="P9" s="15">
        <f>IF(OR(N9="",O9=""),"",N9*O9)</f>
        <v/>
      </c>
      <c r="Q9" s="15">
        <f>IF(P9="","",INDEX(평가기준!$C$15:$C$19,MATCH(P9,평가기준!$A$15:$A$19,1)))</f>
        <v/>
      </c>
      <c r="R9" s="12" t="n"/>
      <c r="S9" s="17" t="n"/>
      <c r="T9" s="17" t="n"/>
      <c r="U9" s="12" t="n"/>
    </row>
    <row r="10" ht="28" customHeight="1">
      <c r="A10" s="12" t="n">
        <v>4</v>
      </c>
      <c r="B10" s="12" t="n"/>
      <c r="C10" s="12" t="n"/>
      <c r="D10" s="12" t="n"/>
      <c r="E10" s="12" t="n"/>
      <c r="F10" s="18" t="n"/>
      <c r="G10" s="12" t="n"/>
      <c r="H10" s="18" t="n"/>
      <c r="I10" s="12" t="n"/>
      <c r="J10" s="12" t="n"/>
      <c r="K10" s="15">
        <f>IF(OR(I10="",J10=""),"",I10*J10)</f>
        <v/>
      </c>
      <c r="L10" s="15">
        <f>IF(K10="","",INDEX(평가기준!$C$15:$C$19,MATCH(K10,평가기준!$A$15:$A$19,1)))</f>
        <v/>
      </c>
      <c r="M10" s="18" t="n"/>
      <c r="N10" s="12" t="n"/>
      <c r="O10" s="12" t="n"/>
      <c r="P10" s="15">
        <f>IF(OR(N10="",O10=""),"",N10*O10)</f>
        <v/>
      </c>
      <c r="Q10" s="15">
        <f>IF(P10="","",INDEX(평가기준!$C$15:$C$19,MATCH(P10,평가기준!$A$15:$A$19,1)))</f>
        <v/>
      </c>
      <c r="R10" s="12" t="n"/>
      <c r="S10" s="17" t="n"/>
      <c r="T10" s="17" t="n"/>
      <c r="U10" s="12" t="n"/>
    </row>
    <row r="11" ht="28" customHeight="1">
      <c r="A11" s="12" t="n">
        <v>5</v>
      </c>
      <c r="B11" s="12" t="n"/>
      <c r="C11" s="12" t="n"/>
      <c r="D11" s="12" t="n"/>
      <c r="E11" s="12" t="n"/>
      <c r="F11" s="18" t="n"/>
      <c r="G11" s="12" t="n"/>
      <c r="H11" s="18" t="n"/>
      <c r="I11" s="12" t="n"/>
      <c r="J11" s="12" t="n"/>
      <c r="K11" s="15">
        <f>IF(OR(I11="",J11=""),"",I11*J11)</f>
        <v/>
      </c>
      <c r="L11" s="15">
        <f>IF(K11="","",INDEX(평가기준!$C$15:$C$19,MATCH(K11,평가기준!$A$15:$A$19,1)))</f>
        <v/>
      </c>
      <c r="M11" s="18" t="n"/>
      <c r="N11" s="12" t="n"/>
      <c r="O11" s="12" t="n"/>
      <c r="P11" s="15">
        <f>IF(OR(N11="",O11=""),"",N11*O11)</f>
        <v/>
      </c>
      <c r="Q11" s="15">
        <f>IF(P11="","",INDEX(평가기준!$C$15:$C$19,MATCH(P11,평가기준!$A$15:$A$19,1)))</f>
        <v/>
      </c>
      <c r="R11" s="12" t="n"/>
      <c r="S11" s="17" t="n"/>
      <c r="T11" s="17" t="n"/>
      <c r="U11" s="12" t="n"/>
    </row>
    <row r="12" ht="28" customHeight="1">
      <c r="A12" s="12" t="n">
        <v>6</v>
      </c>
      <c r="B12" s="12" t="n"/>
      <c r="C12" s="12" t="n"/>
      <c r="D12" s="12" t="n"/>
      <c r="E12" s="12" t="n"/>
      <c r="F12" s="18" t="n"/>
      <c r="G12" s="12" t="n"/>
      <c r="H12" s="18" t="n"/>
      <c r="I12" s="12" t="n"/>
      <c r="J12" s="12" t="n"/>
      <c r="K12" s="15">
        <f>IF(OR(I12="",J12=""),"",I12*J12)</f>
        <v/>
      </c>
      <c r="L12" s="15">
        <f>IF(K12="","",INDEX(평가기준!$C$15:$C$19,MATCH(K12,평가기준!$A$15:$A$19,1)))</f>
        <v/>
      </c>
      <c r="M12" s="18" t="n"/>
      <c r="N12" s="12" t="n"/>
      <c r="O12" s="12" t="n"/>
      <c r="P12" s="15">
        <f>IF(OR(N12="",O12=""),"",N12*O12)</f>
        <v/>
      </c>
      <c r="Q12" s="15">
        <f>IF(P12="","",INDEX(평가기준!$C$15:$C$19,MATCH(P12,평가기준!$A$15:$A$19,1)))</f>
        <v/>
      </c>
      <c r="R12" s="12" t="n"/>
      <c r="S12" s="17" t="n"/>
      <c r="T12" s="17" t="n"/>
      <c r="U12" s="12" t="n"/>
    </row>
    <row r="13" ht="28" customHeight="1">
      <c r="A13" s="12" t="n">
        <v>7</v>
      </c>
      <c r="B13" s="12" t="n"/>
      <c r="C13" s="12" t="n"/>
      <c r="D13" s="12" t="n"/>
      <c r="E13" s="12" t="n"/>
      <c r="F13" s="18" t="n"/>
      <c r="G13" s="12" t="n"/>
      <c r="H13" s="18" t="n"/>
      <c r="I13" s="12" t="n"/>
      <c r="J13" s="12" t="n"/>
      <c r="K13" s="15">
        <f>IF(OR(I13="",J13=""),"",I13*J13)</f>
        <v/>
      </c>
      <c r="L13" s="15">
        <f>IF(K13="","",INDEX(평가기준!$C$15:$C$19,MATCH(K13,평가기준!$A$15:$A$19,1)))</f>
        <v/>
      </c>
      <c r="M13" s="18" t="n"/>
      <c r="N13" s="12" t="n"/>
      <c r="O13" s="12" t="n"/>
      <c r="P13" s="15">
        <f>IF(OR(N13="",O13=""),"",N13*O13)</f>
        <v/>
      </c>
      <c r="Q13" s="15">
        <f>IF(P13="","",INDEX(평가기준!$C$15:$C$19,MATCH(P13,평가기준!$A$15:$A$19,1)))</f>
        <v/>
      </c>
      <c r="R13" s="12" t="n"/>
      <c r="S13" s="17" t="n"/>
      <c r="T13" s="17" t="n"/>
      <c r="U13" s="12" t="n"/>
    </row>
    <row r="14" ht="28" customHeight="1">
      <c r="A14" s="12" t="n">
        <v>8</v>
      </c>
      <c r="B14" s="12" t="n"/>
      <c r="C14" s="12" t="n"/>
      <c r="D14" s="12" t="n"/>
      <c r="E14" s="12" t="n"/>
      <c r="F14" s="18" t="n"/>
      <c r="G14" s="12" t="n"/>
      <c r="H14" s="18" t="n"/>
      <c r="I14" s="12" t="n"/>
      <c r="J14" s="12" t="n"/>
      <c r="K14" s="15">
        <f>IF(OR(I14="",J14=""),"",I14*J14)</f>
        <v/>
      </c>
      <c r="L14" s="15">
        <f>IF(K14="","",INDEX(평가기준!$C$15:$C$19,MATCH(K14,평가기준!$A$15:$A$19,1)))</f>
        <v/>
      </c>
      <c r="M14" s="18" t="n"/>
      <c r="N14" s="12" t="n"/>
      <c r="O14" s="12" t="n"/>
      <c r="P14" s="15">
        <f>IF(OR(N14="",O14=""),"",N14*O14)</f>
        <v/>
      </c>
      <c r="Q14" s="15">
        <f>IF(P14="","",INDEX(평가기준!$C$15:$C$19,MATCH(P14,평가기준!$A$15:$A$19,1)))</f>
        <v/>
      </c>
      <c r="R14" s="12" t="n"/>
      <c r="S14" s="17" t="n"/>
      <c r="T14" s="17" t="n"/>
      <c r="U14" s="12" t="n"/>
    </row>
    <row r="15" ht="28" customHeight="1">
      <c r="A15" s="12" t="n">
        <v>9</v>
      </c>
      <c r="B15" s="12" t="n"/>
      <c r="C15" s="12" t="n"/>
      <c r="D15" s="12" t="n"/>
      <c r="E15" s="12" t="n"/>
      <c r="F15" s="18" t="n"/>
      <c r="G15" s="12" t="n"/>
      <c r="H15" s="18" t="n"/>
      <c r="I15" s="12" t="n"/>
      <c r="J15" s="12" t="n"/>
      <c r="K15" s="15">
        <f>IF(OR(I15="",J15=""),"",I15*J15)</f>
        <v/>
      </c>
      <c r="L15" s="15">
        <f>IF(K15="","",INDEX(평가기준!$C$15:$C$19,MATCH(K15,평가기준!$A$15:$A$19,1)))</f>
        <v/>
      </c>
      <c r="M15" s="18" t="n"/>
      <c r="N15" s="12" t="n"/>
      <c r="O15" s="12" t="n"/>
      <c r="P15" s="15">
        <f>IF(OR(N15="",O15=""),"",N15*O15)</f>
        <v/>
      </c>
      <c r="Q15" s="15">
        <f>IF(P15="","",INDEX(평가기준!$C$15:$C$19,MATCH(P15,평가기준!$A$15:$A$19,1)))</f>
        <v/>
      </c>
      <c r="R15" s="12" t="n"/>
      <c r="S15" s="17" t="n"/>
      <c r="T15" s="17" t="n"/>
      <c r="U15" s="12" t="n"/>
    </row>
    <row r="16" ht="28" customHeight="1">
      <c r="A16" s="12" t="n">
        <v>10</v>
      </c>
      <c r="B16" s="12" t="n"/>
      <c r="C16" s="12" t="n"/>
      <c r="D16" s="12" t="n"/>
      <c r="E16" s="12" t="n"/>
      <c r="F16" s="18" t="n"/>
      <c r="G16" s="12" t="n"/>
      <c r="H16" s="18" t="n"/>
      <c r="I16" s="12" t="n"/>
      <c r="J16" s="12" t="n"/>
      <c r="K16" s="15">
        <f>IF(OR(I16="",J16=""),"",I16*J16)</f>
        <v/>
      </c>
      <c r="L16" s="15">
        <f>IF(K16="","",INDEX(평가기준!$C$15:$C$19,MATCH(K16,평가기준!$A$15:$A$19,1)))</f>
        <v/>
      </c>
      <c r="M16" s="18" t="n"/>
      <c r="N16" s="12" t="n"/>
      <c r="O16" s="12" t="n"/>
      <c r="P16" s="15">
        <f>IF(OR(N16="",O16=""),"",N16*O16)</f>
        <v/>
      </c>
      <c r="Q16" s="15">
        <f>IF(P16="","",INDEX(평가기준!$C$15:$C$19,MATCH(P16,평가기준!$A$15:$A$19,1)))</f>
        <v/>
      </c>
      <c r="R16" s="12" t="n"/>
      <c r="S16" s="17" t="n"/>
      <c r="T16" s="17" t="n"/>
      <c r="U16" s="12" t="n"/>
    </row>
    <row r="17" ht="28" customHeight="1">
      <c r="A17" s="12" t="n">
        <v>11</v>
      </c>
      <c r="B17" s="12" t="n"/>
      <c r="C17" s="12" t="n"/>
      <c r="D17" s="12" t="n"/>
      <c r="E17" s="12" t="n"/>
      <c r="F17" s="18" t="n"/>
      <c r="G17" s="12" t="n"/>
      <c r="H17" s="18" t="n"/>
      <c r="I17" s="12" t="n"/>
      <c r="J17" s="12" t="n"/>
      <c r="K17" s="15">
        <f>IF(OR(I17="",J17=""),"",I17*J17)</f>
        <v/>
      </c>
      <c r="L17" s="15">
        <f>IF(K17="","",INDEX(평가기준!$C$15:$C$19,MATCH(K17,평가기준!$A$15:$A$19,1)))</f>
        <v/>
      </c>
      <c r="M17" s="18" t="n"/>
      <c r="N17" s="12" t="n"/>
      <c r="O17" s="12" t="n"/>
      <c r="P17" s="15">
        <f>IF(OR(N17="",O17=""),"",N17*O17)</f>
        <v/>
      </c>
      <c r="Q17" s="15">
        <f>IF(P17="","",INDEX(평가기준!$C$15:$C$19,MATCH(P17,평가기준!$A$15:$A$19,1)))</f>
        <v/>
      </c>
      <c r="R17" s="12" t="n"/>
      <c r="S17" s="17" t="n"/>
      <c r="T17" s="17" t="n"/>
      <c r="U17" s="12" t="n"/>
    </row>
    <row r="18" ht="28" customHeight="1">
      <c r="A18" s="12" t="n">
        <v>12</v>
      </c>
      <c r="B18" s="12" t="n"/>
      <c r="C18" s="12" t="n"/>
      <c r="D18" s="12" t="n"/>
      <c r="E18" s="12" t="n"/>
      <c r="F18" s="18" t="n"/>
      <c r="G18" s="12" t="n"/>
      <c r="H18" s="18" t="n"/>
      <c r="I18" s="12" t="n"/>
      <c r="J18" s="12" t="n"/>
      <c r="K18" s="15">
        <f>IF(OR(I18="",J18=""),"",I18*J18)</f>
        <v/>
      </c>
      <c r="L18" s="15">
        <f>IF(K18="","",INDEX(평가기준!$C$15:$C$19,MATCH(K18,평가기준!$A$15:$A$19,1)))</f>
        <v/>
      </c>
      <c r="M18" s="18" t="n"/>
      <c r="N18" s="12" t="n"/>
      <c r="O18" s="12" t="n"/>
      <c r="P18" s="15">
        <f>IF(OR(N18="",O18=""),"",N18*O18)</f>
        <v/>
      </c>
      <c r="Q18" s="15">
        <f>IF(P18="","",INDEX(평가기준!$C$15:$C$19,MATCH(P18,평가기준!$A$15:$A$19,1)))</f>
        <v/>
      </c>
      <c r="R18" s="12" t="n"/>
      <c r="S18" s="17" t="n"/>
      <c r="T18" s="17" t="n"/>
      <c r="U18" s="12" t="n"/>
    </row>
    <row r="19" ht="28" customHeight="1">
      <c r="A19" s="12" t="n">
        <v>13</v>
      </c>
      <c r="B19" s="12" t="n"/>
      <c r="C19" s="12" t="n"/>
      <c r="D19" s="12" t="n"/>
      <c r="E19" s="12" t="n"/>
      <c r="F19" s="18" t="n"/>
      <c r="G19" s="12" t="n"/>
      <c r="H19" s="18" t="n"/>
      <c r="I19" s="12" t="n"/>
      <c r="J19" s="12" t="n"/>
      <c r="K19" s="15">
        <f>IF(OR(I19="",J19=""),"",I19*J19)</f>
        <v/>
      </c>
      <c r="L19" s="15">
        <f>IF(K19="","",INDEX(평가기준!$C$15:$C$19,MATCH(K19,평가기준!$A$15:$A$19,1)))</f>
        <v/>
      </c>
      <c r="M19" s="18" t="n"/>
      <c r="N19" s="12" t="n"/>
      <c r="O19" s="12" t="n"/>
      <c r="P19" s="15">
        <f>IF(OR(N19="",O19=""),"",N19*O19)</f>
        <v/>
      </c>
      <c r="Q19" s="15">
        <f>IF(P19="","",INDEX(평가기준!$C$15:$C$19,MATCH(P19,평가기준!$A$15:$A$19,1)))</f>
        <v/>
      </c>
      <c r="R19" s="12" t="n"/>
      <c r="S19" s="17" t="n"/>
      <c r="T19" s="17" t="n"/>
      <c r="U19" s="12" t="n"/>
    </row>
    <row r="20" ht="28" customHeight="1">
      <c r="A20" s="12" t="n">
        <v>14</v>
      </c>
      <c r="B20" s="12" t="n"/>
      <c r="C20" s="12" t="n"/>
      <c r="D20" s="12" t="n"/>
      <c r="E20" s="12" t="n"/>
      <c r="F20" s="18" t="n"/>
      <c r="G20" s="12" t="n"/>
      <c r="H20" s="18" t="n"/>
      <c r="I20" s="12" t="n"/>
      <c r="J20" s="12" t="n"/>
      <c r="K20" s="15">
        <f>IF(OR(I20="",J20=""),"",I20*J20)</f>
        <v/>
      </c>
      <c r="L20" s="15">
        <f>IF(K20="","",INDEX(평가기준!$C$15:$C$19,MATCH(K20,평가기준!$A$15:$A$19,1)))</f>
        <v/>
      </c>
      <c r="M20" s="18" t="n"/>
      <c r="N20" s="12" t="n"/>
      <c r="O20" s="12" t="n"/>
      <c r="P20" s="15">
        <f>IF(OR(N20="",O20=""),"",N20*O20)</f>
        <v/>
      </c>
      <c r="Q20" s="15">
        <f>IF(P20="","",INDEX(평가기준!$C$15:$C$19,MATCH(P20,평가기준!$A$15:$A$19,1)))</f>
        <v/>
      </c>
      <c r="R20" s="12" t="n"/>
      <c r="S20" s="17" t="n"/>
      <c r="T20" s="17" t="n"/>
      <c r="U20" s="12" t="n"/>
    </row>
    <row r="21" ht="28" customHeight="1">
      <c r="A21" s="12" t="n">
        <v>15</v>
      </c>
      <c r="B21" s="12" t="n"/>
      <c r="C21" s="12" t="n"/>
      <c r="D21" s="12" t="n"/>
      <c r="E21" s="12" t="n"/>
      <c r="F21" s="18" t="n"/>
      <c r="G21" s="12" t="n"/>
      <c r="H21" s="18" t="n"/>
      <c r="I21" s="12" t="n"/>
      <c r="J21" s="12" t="n"/>
      <c r="K21" s="15">
        <f>IF(OR(I21="",J21=""),"",I21*J21)</f>
        <v/>
      </c>
      <c r="L21" s="15">
        <f>IF(K21="","",INDEX(평가기준!$C$15:$C$19,MATCH(K21,평가기준!$A$15:$A$19,1)))</f>
        <v/>
      </c>
      <c r="M21" s="18" t="n"/>
      <c r="N21" s="12" t="n"/>
      <c r="O21" s="12" t="n"/>
      <c r="P21" s="15">
        <f>IF(OR(N21="",O21=""),"",N21*O21)</f>
        <v/>
      </c>
      <c r="Q21" s="15">
        <f>IF(P21="","",INDEX(평가기준!$C$15:$C$19,MATCH(P21,평가기준!$A$15:$A$19,1)))</f>
        <v/>
      </c>
      <c r="R21" s="12" t="n"/>
      <c r="S21" s="17" t="n"/>
      <c r="T21" s="17" t="n"/>
      <c r="U21" s="12" t="n"/>
    </row>
    <row r="22" ht="28" customHeight="1">
      <c r="A22" s="12" t="n">
        <v>16</v>
      </c>
      <c r="B22" s="12" t="n"/>
      <c r="C22" s="12" t="n"/>
      <c r="D22" s="12" t="n"/>
      <c r="E22" s="12" t="n"/>
      <c r="F22" s="18" t="n"/>
      <c r="G22" s="12" t="n"/>
      <c r="H22" s="18" t="n"/>
      <c r="I22" s="12" t="n"/>
      <c r="J22" s="12" t="n"/>
      <c r="K22" s="15">
        <f>IF(OR(I22="",J22=""),"",I22*J22)</f>
        <v/>
      </c>
      <c r="L22" s="15">
        <f>IF(K22="","",INDEX(평가기준!$C$15:$C$19,MATCH(K22,평가기준!$A$15:$A$19,1)))</f>
        <v/>
      </c>
      <c r="M22" s="18" t="n"/>
      <c r="N22" s="12" t="n"/>
      <c r="O22" s="12" t="n"/>
      <c r="P22" s="15">
        <f>IF(OR(N22="",O22=""),"",N22*O22)</f>
        <v/>
      </c>
      <c r="Q22" s="15">
        <f>IF(P22="","",INDEX(평가기준!$C$15:$C$19,MATCH(P22,평가기준!$A$15:$A$19,1)))</f>
        <v/>
      </c>
      <c r="R22" s="12" t="n"/>
      <c r="S22" s="17" t="n"/>
      <c r="T22" s="17" t="n"/>
      <c r="U22" s="12" t="n"/>
    </row>
    <row r="23" ht="28" customHeight="1">
      <c r="A23" s="12" t="n">
        <v>17</v>
      </c>
      <c r="B23" s="12" t="n"/>
      <c r="C23" s="12" t="n"/>
      <c r="D23" s="12" t="n"/>
      <c r="E23" s="12" t="n"/>
      <c r="F23" s="18" t="n"/>
      <c r="G23" s="12" t="n"/>
      <c r="H23" s="18" t="n"/>
      <c r="I23" s="12" t="n"/>
      <c r="J23" s="12" t="n"/>
      <c r="K23" s="15">
        <f>IF(OR(I23="",J23=""),"",I23*J23)</f>
        <v/>
      </c>
      <c r="L23" s="15">
        <f>IF(K23="","",INDEX(평가기준!$C$15:$C$19,MATCH(K23,평가기준!$A$15:$A$19,1)))</f>
        <v/>
      </c>
      <c r="M23" s="18" t="n"/>
      <c r="N23" s="12" t="n"/>
      <c r="O23" s="12" t="n"/>
      <c r="P23" s="15">
        <f>IF(OR(N23="",O23=""),"",N23*O23)</f>
        <v/>
      </c>
      <c r="Q23" s="15">
        <f>IF(P23="","",INDEX(평가기준!$C$15:$C$19,MATCH(P23,평가기준!$A$15:$A$19,1)))</f>
        <v/>
      </c>
      <c r="R23" s="12" t="n"/>
      <c r="S23" s="17" t="n"/>
      <c r="T23" s="17" t="n"/>
      <c r="U23" s="12" t="n"/>
    </row>
    <row r="24" ht="28" customHeight="1">
      <c r="A24" s="12" t="n">
        <v>18</v>
      </c>
      <c r="B24" s="12" t="n"/>
      <c r="C24" s="12" t="n"/>
      <c r="D24" s="12" t="n"/>
      <c r="E24" s="12" t="n"/>
      <c r="F24" s="18" t="n"/>
      <c r="G24" s="12" t="n"/>
      <c r="H24" s="18" t="n"/>
      <c r="I24" s="12" t="n"/>
      <c r="J24" s="12" t="n"/>
      <c r="K24" s="15">
        <f>IF(OR(I24="",J24=""),"",I24*J24)</f>
        <v/>
      </c>
      <c r="L24" s="15">
        <f>IF(K24="","",INDEX(평가기준!$C$15:$C$19,MATCH(K24,평가기준!$A$15:$A$19,1)))</f>
        <v/>
      </c>
      <c r="M24" s="18" t="n"/>
      <c r="N24" s="12" t="n"/>
      <c r="O24" s="12" t="n"/>
      <c r="P24" s="15">
        <f>IF(OR(N24="",O24=""),"",N24*O24)</f>
        <v/>
      </c>
      <c r="Q24" s="15">
        <f>IF(P24="","",INDEX(평가기준!$C$15:$C$19,MATCH(P24,평가기준!$A$15:$A$19,1)))</f>
        <v/>
      </c>
      <c r="R24" s="12" t="n"/>
      <c r="S24" s="17" t="n"/>
      <c r="T24" s="17" t="n"/>
      <c r="U24" s="12" t="n"/>
    </row>
    <row r="25" ht="28" customHeight="1">
      <c r="A25" s="12" t="n">
        <v>19</v>
      </c>
      <c r="B25" s="12" t="n"/>
      <c r="C25" s="12" t="n"/>
      <c r="D25" s="12" t="n"/>
      <c r="E25" s="12" t="n"/>
      <c r="F25" s="18" t="n"/>
      <c r="G25" s="12" t="n"/>
      <c r="H25" s="18" t="n"/>
      <c r="I25" s="12" t="n"/>
      <c r="J25" s="12" t="n"/>
      <c r="K25" s="15">
        <f>IF(OR(I25="",J25=""),"",I25*J25)</f>
        <v/>
      </c>
      <c r="L25" s="15">
        <f>IF(K25="","",INDEX(평가기준!$C$15:$C$19,MATCH(K25,평가기준!$A$15:$A$19,1)))</f>
        <v/>
      </c>
      <c r="M25" s="18" t="n"/>
      <c r="N25" s="12" t="n"/>
      <c r="O25" s="12" t="n"/>
      <c r="P25" s="15">
        <f>IF(OR(N25="",O25=""),"",N25*O25)</f>
        <v/>
      </c>
      <c r="Q25" s="15">
        <f>IF(P25="","",INDEX(평가기준!$C$15:$C$19,MATCH(P25,평가기준!$A$15:$A$19,1)))</f>
        <v/>
      </c>
      <c r="R25" s="12" t="n"/>
      <c r="S25" s="17" t="n"/>
      <c r="T25" s="17" t="n"/>
      <c r="U25" s="12" t="n"/>
    </row>
    <row r="26" ht="28" customHeight="1">
      <c r="A26" s="12" t="n">
        <v>20</v>
      </c>
      <c r="B26" s="12" t="n"/>
      <c r="C26" s="12" t="n"/>
      <c r="D26" s="12" t="n"/>
      <c r="E26" s="12" t="n"/>
      <c r="F26" s="18" t="n"/>
      <c r="G26" s="12" t="n"/>
      <c r="H26" s="18" t="n"/>
      <c r="I26" s="12" t="n"/>
      <c r="J26" s="12" t="n"/>
      <c r="K26" s="15">
        <f>IF(OR(I26="",J26=""),"",I26*J26)</f>
        <v/>
      </c>
      <c r="L26" s="15">
        <f>IF(K26="","",INDEX(평가기준!$C$15:$C$19,MATCH(K26,평가기준!$A$15:$A$19,1)))</f>
        <v/>
      </c>
      <c r="M26" s="18" t="n"/>
      <c r="N26" s="12" t="n"/>
      <c r="O26" s="12" t="n"/>
      <c r="P26" s="15">
        <f>IF(OR(N26="",O26=""),"",N26*O26)</f>
        <v/>
      </c>
      <c r="Q26" s="15">
        <f>IF(P26="","",INDEX(평가기준!$C$15:$C$19,MATCH(P26,평가기준!$A$15:$A$19,1)))</f>
        <v/>
      </c>
      <c r="R26" s="12" t="n"/>
      <c r="S26" s="17" t="n"/>
      <c r="T26" s="17" t="n"/>
      <c r="U26" s="12" t="n"/>
    </row>
    <row r="28" ht="24" customHeight="1">
      <c r="A28" s="9" t="inlineStr">
        <is>
          <t>허용 기준 초과(개선 전)</t>
        </is>
      </c>
      <c r="B28" s="9" t="n"/>
      <c r="C28" s="9" t="n"/>
      <c r="D28" s="9" t="n"/>
      <c r="E28" s="9" t="n"/>
      <c r="F28" s="19">
        <f>COUNTIF(K7:K26,"&gt;"&amp;평가기준!$C$22)&amp;"건"</f>
        <v/>
      </c>
      <c r="G28" s="9" t="inlineStr">
        <is>
          <t>개선 후 여전히 초과</t>
        </is>
      </c>
      <c r="H28" s="9" t="n"/>
      <c r="I28" s="19">
        <f>COUNTIF(P7:P26,"&gt;"&amp;평가기준!$C$22)&amp;"건"</f>
        <v/>
      </c>
      <c r="J28" s="19" t="n"/>
      <c r="K28" s="19" t="n"/>
      <c r="L28" s="9" t="inlineStr">
        <is>
          <t>완료 / 대상</t>
        </is>
      </c>
      <c r="M28" s="9" t="n"/>
      <c r="N28" s="20">
        <f>COUNT(T7:T26)&amp;" / "&amp;COUNT(K7:K26)</f>
        <v/>
      </c>
      <c r="O28" s="20" t="n"/>
      <c r="P28" s="20" t="n"/>
      <c r="Q28" s="20" t="n"/>
    </row>
  </sheetData>
  <mergeCells count="15">
    <mergeCell ref="A4:B4"/>
    <mergeCell ref="A1:N1"/>
    <mergeCell ref="N28:Q28"/>
    <mergeCell ref="I4:J4"/>
    <mergeCell ref="I28:K28"/>
    <mergeCell ref="C4:F4"/>
    <mergeCell ref="K4:M4"/>
    <mergeCell ref="A28:E28"/>
    <mergeCell ref="A2:N2"/>
    <mergeCell ref="A5:U5"/>
    <mergeCell ref="G28:H28"/>
    <mergeCell ref="N4:P4"/>
    <mergeCell ref="L28:M28"/>
    <mergeCell ref="Q4:U4"/>
    <mergeCell ref="R1:R2"/>
  </mergeCells>
  <conditionalFormatting sqref="L7:L26">
    <cfRule type="expression" priority="1" dxfId="0">
      <formula>ISNUMBER(SEARCH("매우 높음",L7))</formula>
    </cfRule>
    <cfRule type="expression" priority="2" dxfId="1">
      <formula>ISNUMBER(SEARCH("높음",L7))</formula>
    </cfRule>
    <cfRule type="expression" priority="3" dxfId="2">
      <formula>ISNUMBER(SEARCH("보통",L7))</formula>
    </cfRule>
    <cfRule type="expression" priority="4" dxfId="3">
      <formula>ISNUMBER(SEARCH("매우 낮음",L7))</formula>
    </cfRule>
    <cfRule type="expression" priority="5" dxfId="4">
      <formula>ISNUMBER(SEARCH("낮음",L7))</formula>
    </cfRule>
  </conditionalFormatting>
  <conditionalFormatting sqref="Q7:Q26">
    <cfRule type="expression" priority="6" dxfId="0">
      <formula>ISNUMBER(SEARCH("매우 높음",Q7))</formula>
    </cfRule>
    <cfRule type="expression" priority="7" dxfId="1">
      <formula>ISNUMBER(SEARCH("높음",Q7))</formula>
    </cfRule>
    <cfRule type="expression" priority="8" dxfId="2">
      <formula>ISNUMBER(SEARCH("보통",Q7))</formula>
    </cfRule>
    <cfRule type="expression" priority="9" dxfId="3">
      <formula>ISNUMBER(SEARCH("매우 낮음",Q7))</formula>
    </cfRule>
    <cfRule type="expression" priority="10" dxfId="4">
      <formula>ISNUMBER(SEARCH("낮음",Q7))</formula>
    </cfRule>
  </conditionalFormatting>
  <conditionalFormatting sqref="R7:S26">
    <cfRule type="expression" priority="11" dxfId="5">
      <formula>AND($K7&lt;&gt;"",$K7&gt;평가기준!$C$22,R7="")</formula>
    </cfRule>
  </conditionalFormatting>
  <dataValidations count="7">
    <dataValidation sqref="H4" showDropDown="0" showInputMessage="0" showErrorMessage="0" allowBlank="1" errorTitle="입력 확인" error="목록에서 고르세요(목록을 바꾸려면 [데이터] → [데이터 유효성 검사])" type="list">
      <formula1>"최초평가,정기평가,수시평가,상시평가"</formula1>
    </dataValidation>
    <dataValidation sqref="D7:D26" showDropDown="0" showInputMessage="0" showErrorMessage="0" allowBlank="1" errorTitle="입력 확인" error="목록에서 고르세요(목록을 바꾸려면 [데이터] → [데이터 유효성 검사])" type="list">
      <formula1>"기계적 요인,전기적 요인,화학(물질)적 요인,생물학적 요인,작업특성 요인,작업환경 요인,기타"</formula1>
    </dataValidation>
    <dataValidation sqref="I7:I26" showDropDown="0" showInputMessage="1" showErrorMessage="1" allowBlank="1" errorTitle="입력 확인" error="1~5 사이 숫자를 넣으세요" prompt="가능성 1~5 (평가기준 시트)" type="whole" operator="between">
      <formula1>1</formula1>
      <formula2>5</formula2>
    </dataValidation>
    <dataValidation sqref="N7:N26" showDropDown="0" showInputMessage="1" showErrorMessage="1" allowBlank="1" errorTitle="입력 확인" error="1~5 사이 숫자를 넣으세요" prompt="개선 후 가능성 1~5" type="whole" operator="between">
      <formula1>1</formula1>
      <formula2>5</formula2>
    </dataValidation>
    <dataValidation sqref="J7:J26" showDropDown="0" showInputMessage="1" showErrorMessage="1" allowBlank="1" errorTitle="입력 확인" error="1~4 사이 숫자를 넣으세요" prompt="중대성 1~4 (평가기준 시트)" type="whole" operator="between">
      <formula1>1</formula1>
      <formula2>4</formula2>
    </dataValidation>
    <dataValidation sqref="O7:O26" showDropDown="0" showInputMessage="1" showErrorMessage="1" allowBlank="1" errorTitle="입력 확인" error="1~4 사이 숫자를 넣으세요" prompt="개선 후 중대성 1~4" type="whole" operator="between">
      <formula1>1</formula1>
      <formula2>4</formula2>
    </dataValidation>
    <dataValidation sqref="S7:T26" showDropDown="0" showInputMessage="0" showErrorMessage="1" allowBlank="1" errorTitle="날짜 확인" error="날짜로 넣으세요(예: 2026-10-27)" type="date" operator="greaterThan">
      <formula1>36526</formula1>
    </dataValidation>
  </dataValidations>
  <printOptions horizontalCentered="1"/>
  <pageMargins left="0.4" right="0.4" top="0.5" bottom="0.55" header="0.2" footer="0.25"/>
  <pageSetup orientation="landscape" paperSize="9" fitToHeight="1" fitToWidth="1"/>
  <headerFooter>
    <oddHeader/>
    <oddFooter>&amp;C&amp;"맑은 고딕"&amp;8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79009"/>
    <outlinePr summaryBelow="1" summaryRight="1"/>
    <pageSetUpPr fitToPage="1"/>
  </sheetPr>
  <dimension ref="A1:G30"/>
  <sheetViews>
    <sheetView showGridLines="0" zoomScale="10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30" customWidth="1" min="4" max="4"/>
    <col width="10" customWidth="1" min="5" max="5"/>
    <col width="12" customWidth="1" min="6" max="6"/>
    <col width="40" customWidth="1" min="7" max="7"/>
  </cols>
  <sheetData>
    <row r="1" ht="34" customHeight="1">
      <c r="A1" s="1" t="inlineStr">
        <is>
          <t>위험성 평가기준 (가능성 × 중대성)</t>
        </is>
      </c>
    </row>
    <row r="2" ht="18" customHeight="1">
      <c r="A2" s="2" t="inlineStr">
        <is>
          <t>예시 기준입니다. 사업장 위험성평가 실시 규정에 맞게 숫자와 설명을 고쳐 쓰면 '위험성평가표' 시트가 따라 계산됩니다.</t>
        </is>
      </c>
    </row>
    <row r="4" ht="30" customHeight="1">
      <c r="A4" s="9" t="inlineStr">
        <is>
          <t>가능성</t>
        </is>
      </c>
      <c r="B4" s="9" t="inlineStr">
        <is>
          <t>구분</t>
        </is>
      </c>
      <c r="C4" s="9" t="inlineStr">
        <is>
          <t>판단 기준(예시)</t>
        </is>
      </c>
      <c r="E4" s="9" t="inlineStr">
        <is>
          <t>중대성</t>
        </is>
      </c>
      <c r="F4" s="9" t="inlineStr">
        <is>
          <t>구분</t>
        </is>
      </c>
      <c r="G4" s="9" t="inlineStr">
        <is>
          <t>판단 기준(예시)</t>
        </is>
      </c>
    </row>
    <row r="5" ht="30" customHeight="1">
      <c r="A5" s="20" t="n">
        <v>5</v>
      </c>
      <c r="B5" s="10" t="inlineStr">
        <is>
          <t>매우 높음</t>
        </is>
      </c>
      <c r="C5" s="18" t="inlineStr">
        <is>
          <t>피해가 생길 가능성이 매우 높음 — 같은 작업에서 사고·아차사고가 자주 있었음</t>
        </is>
      </c>
      <c r="E5" s="20" t="n">
        <v>4</v>
      </c>
      <c r="F5" s="10" t="inlineStr">
        <is>
          <t>최대</t>
        </is>
      </c>
      <c r="G5" s="18" t="inlineStr">
        <is>
          <t>사망 또는 영구 장해</t>
        </is>
      </c>
    </row>
    <row r="6" ht="30" customHeight="1">
      <c r="A6" s="20" t="n">
        <v>4</v>
      </c>
      <c r="B6" s="10" t="inlineStr">
        <is>
          <t>높음</t>
        </is>
      </c>
      <c r="C6" s="18" t="inlineStr">
        <is>
          <t>피해가 생길 가능성이 높음 — 안전조치가 거의 없음</t>
        </is>
      </c>
      <c r="E6" s="20" t="n">
        <v>3</v>
      </c>
      <c r="F6" s="10" t="inlineStr">
        <is>
          <t>대</t>
        </is>
      </c>
      <c r="G6" s="18" t="inlineStr">
        <is>
          <t>휴업이 필요한 부상·질병</t>
        </is>
      </c>
    </row>
    <row r="7" ht="30" customHeight="1">
      <c r="A7" s="20" t="n">
        <v>3</v>
      </c>
      <c r="B7" s="10" t="inlineStr">
        <is>
          <t>보통</t>
        </is>
      </c>
      <c r="C7" s="18" t="inlineStr">
        <is>
          <t>부주의하면 피해가 생길 수 있음 — 안전조치가 일부 미흡</t>
        </is>
      </c>
      <c r="E7" s="20" t="n">
        <v>2</v>
      </c>
      <c r="F7" s="10" t="inlineStr">
        <is>
          <t>중</t>
        </is>
      </c>
      <c r="G7" s="18" t="inlineStr">
        <is>
          <t>휴업 없이 치료가 필요한 부상·질병</t>
        </is>
      </c>
    </row>
    <row r="8" ht="30" customHeight="1">
      <c r="A8" s="20" t="n">
        <v>2</v>
      </c>
      <c r="B8" s="10" t="inlineStr">
        <is>
          <t>낮음</t>
        </is>
      </c>
      <c r="C8" s="18" t="inlineStr">
        <is>
          <t>피해가 생길 가능성이 낮음 — 안전조치가 대부분 되어 있음</t>
        </is>
      </c>
      <c r="E8" s="20" t="n">
        <v>1</v>
      </c>
      <c r="F8" s="10" t="inlineStr">
        <is>
          <t>소</t>
        </is>
      </c>
      <c r="G8" s="18" t="inlineStr">
        <is>
          <t>응급처치 수준의 경미한 부상</t>
        </is>
      </c>
    </row>
    <row r="9" ht="30" customHeight="1">
      <c r="A9" s="20" t="n">
        <v>1</v>
      </c>
      <c r="B9" s="10" t="inlineStr">
        <is>
          <t>매우 낮음</t>
        </is>
      </c>
      <c r="C9" s="18" t="inlineStr">
        <is>
          <t>피해가 생길 가능성이 거의 없음</t>
        </is>
      </c>
    </row>
    <row r="12">
      <c r="A12" s="4" t="inlineStr">
        <is>
          <t>위험성 등급 (위험성 = 가능성 × 중대성)</t>
        </is>
      </c>
    </row>
    <row r="14" ht="24" customHeight="1">
      <c r="A14" s="9" t="inlineStr">
        <is>
          <t>최소 점수</t>
        </is>
      </c>
      <c r="B14" s="9" t="inlineStr">
        <is>
          <t>최대 점수</t>
        </is>
      </c>
      <c r="C14" s="9" t="inlineStr">
        <is>
          <t>등급</t>
        </is>
      </c>
      <c r="D14" s="9" t="inlineStr">
        <is>
          <t>조치 기준</t>
        </is>
      </c>
    </row>
    <row r="15" ht="22" customHeight="1">
      <c r="A15" s="20" t="n">
        <v>1</v>
      </c>
      <c r="B15" s="10" t="n">
        <v>3</v>
      </c>
      <c r="C15" s="21" t="inlineStr">
        <is>
          <t>매우 낮음</t>
        </is>
      </c>
      <c r="D15" s="18" t="inlineStr">
        <is>
          <t>현재 상태 유지</t>
        </is>
      </c>
    </row>
    <row r="16" ht="22" customHeight="1">
      <c r="A16" s="20" t="n">
        <v>4</v>
      </c>
      <c r="B16" s="10" t="n">
        <v>6</v>
      </c>
      <c r="C16" s="22" t="inlineStr">
        <is>
          <t>낮음</t>
        </is>
      </c>
      <c r="D16" s="18" t="inlineStr">
        <is>
          <t>현재 상태 유지 · 필요 시 개선</t>
        </is>
      </c>
    </row>
    <row r="17" ht="22" customHeight="1">
      <c r="A17" s="20" t="n">
        <v>8</v>
      </c>
      <c r="B17" s="10" t="n">
        <v>10</v>
      </c>
      <c r="C17" s="23" t="inlineStr">
        <is>
          <t>보통</t>
        </is>
      </c>
      <c r="D17" s="18" t="inlineStr">
        <is>
          <t>계획을 세워 개선</t>
        </is>
      </c>
    </row>
    <row r="18" ht="22" customHeight="1">
      <c r="A18" s="20" t="n">
        <v>12</v>
      </c>
      <c r="B18" s="10" t="n">
        <v>15</v>
      </c>
      <c r="C18" s="24" t="inlineStr">
        <is>
          <t>높음</t>
        </is>
      </c>
      <c r="D18" s="18" t="inlineStr">
        <is>
          <t>빠른 시일 안에 개선</t>
        </is>
      </c>
    </row>
    <row r="19" ht="22" customHeight="1">
      <c r="A19" s="20" t="n">
        <v>16</v>
      </c>
      <c r="B19" s="10" t="n">
        <v>20</v>
      </c>
      <c r="C19" s="25" t="inlineStr">
        <is>
          <t>매우 높음</t>
        </is>
      </c>
      <c r="D19" s="18" t="inlineStr">
        <is>
          <t>즉시 개선 · 개선 전 작업 중지 검토</t>
        </is>
      </c>
    </row>
    <row r="22" ht="30" customHeight="1">
      <c r="A22" s="9" t="inlineStr">
        <is>
          <t>허용 기준(이 점수 초과 시 감소대책)</t>
        </is>
      </c>
      <c r="B22" s="9" t="n"/>
      <c r="C22" s="26" t="n">
        <v>6</v>
      </c>
    </row>
    <row r="24">
      <c r="A24" s="4" t="inlineStr">
        <is>
          <t>위험성 매트릭스</t>
        </is>
      </c>
    </row>
    <row r="25">
      <c r="A25" s="27" t="inlineStr">
        <is>
          <t>가능성 \ 중대성</t>
        </is>
      </c>
      <c r="B25" s="28" t="n">
        <v>4</v>
      </c>
      <c r="C25" s="28" t="n">
        <v>3</v>
      </c>
      <c r="D25" s="28" t="n">
        <v>2</v>
      </c>
      <c r="E25" s="28" t="n">
        <v>1</v>
      </c>
    </row>
    <row r="26" ht="22" customHeight="1">
      <c r="A26" s="28" t="n">
        <v>5</v>
      </c>
      <c r="B26" s="20">
        <f>$A26*B$25</f>
        <v/>
      </c>
      <c r="C26" s="20">
        <f>$A26*C$25</f>
        <v/>
      </c>
      <c r="D26" s="20">
        <f>$A26*D$25</f>
        <v/>
      </c>
      <c r="E26" s="20">
        <f>$A26*E$25</f>
        <v/>
      </c>
    </row>
    <row r="27" ht="22" customHeight="1">
      <c r="A27" s="28" t="n">
        <v>4</v>
      </c>
      <c r="B27" s="20">
        <f>$A27*B$25</f>
        <v/>
      </c>
      <c r="C27" s="20">
        <f>$A27*C$25</f>
        <v/>
      </c>
      <c r="D27" s="20">
        <f>$A27*D$25</f>
        <v/>
      </c>
      <c r="E27" s="20">
        <f>$A27*E$25</f>
        <v/>
      </c>
    </row>
    <row r="28" ht="22" customHeight="1">
      <c r="A28" s="28" t="n">
        <v>3</v>
      </c>
      <c r="B28" s="20">
        <f>$A28*B$25</f>
        <v/>
      </c>
      <c r="C28" s="20">
        <f>$A28*C$25</f>
        <v/>
      </c>
      <c r="D28" s="20">
        <f>$A28*D$25</f>
        <v/>
      </c>
      <c r="E28" s="20">
        <f>$A28*E$25</f>
        <v/>
      </c>
    </row>
    <row r="29" ht="22" customHeight="1">
      <c r="A29" s="28" t="n">
        <v>2</v>
      </c>
      <c r="B29" s="20">
        <f>$A29*B$25</f>
        <v/>
      </c>
      <c r="C29" s="20">
        <f>$A29*C$25</f>
        <v/>
      </c>
      <c r="D29" s="20">
        <f>$A29*D$25</f>
        <v/>
      </c>
      <c r="E29" s="20">
        <f>$A29*E$25</f>
        <v/>
      </c>
    </row>
    <row r="30" ht="22" customHeight="1">
      <c r="A30" s="28" t="n">
        <v>1</v>
      </c>
      <c r="B30" s="20">
        <f>$A30*B$25</f>
        <v/>
      </c>
      <c r="C30" s="20">
        <f>$A30*C$25</f>
        <v/>
      </c>
      <c r="D30" s="20">
        <f>$A30*D$25</f>
        <v/>
      </c>
      <c r="E30" s="20">
        <f>$A30*E$25</f>
        <v/>
      </c>
    </row>
  </sheetData>
  <mergeCells count="3">
    <mergeCell ref="A2:G2"/>
    <mergeCell ref="A22:B22"/>
    <mergeCell ref="A1:G1"/>
  </mergeCells>
  <conditionalFormatting sqref="B26:E30">
    <cfRule type="expression" priority="1" dxfId="0">
      <formula>B26&gt;=16</formula>
    </cfRule>
    <cfRule type="expression" priority="2" dxfId="1">
      <formula>B26&gt;=12</formula>
    </cfRule>
    <cfRule type="expression" priority="3" dxfId="2">
      <formula>B26&gt;=8</formula>
    </cfRule>
    <cfRule type="expression" priority="4" dxfId="6">
      <formula>B26&gt;=4</formula>
    </cfRule>
    <cfRule type="expression" priority="5" dxfId="7">
      <formula>B26&gt;=1</formula>
    </cfRule>
  </conditionalFormatting>
  <printOptions horizontalCentered="1"/>
  <pageMargins left="0.4" right="0.4" top="0.5" bottom="0.55" header="0.2" footer="0.25"/>
  <pageSetup orientation="portrait" paperSize="9" fitToHeight="1" fitToWidth="1"/>
  <headerFooter>
    <oddHeader/>
    <oddFooter>&amp;C&amp;"맑은 고딕"&amp;8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2026-10-27T07:23:22Z</dcterms:created>
  <dcterms:modified xmlns:dcterms="http://purl.org/dc/terms/" xmlns:xsi="http://www.w3.org/2001/XMLSchema-instance" xsi:type="dcterms:W3CDTF">2026-10-27T07:23:22Z</dcterms:modified>
</cp:coreProperties>
</file>