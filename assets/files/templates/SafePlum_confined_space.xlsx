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작성 안내" sheetId="1" state="visible" r:id="rId3"/>
    <sheet name="작업 전 확인서" sheetId="2" state="visible" r:id="rId4"/>
    <sheet name="측정 기록(3년 보존)" sheetId="3" state="visible" r:id="rId5"/>
    <sheet name="출입 인원 점검" sheetId="4" state="visible" r:id="rId6"/>
    <sheet name="밀폐공간 관리대장" sheetId="5" state="visible" r:id="rId7"/>
  </sheets>
  <definedNames>
    <definedName function="false" hidden="false" localSheetId="4" name="_xlnm.Print_Area" vbProcedure="false">'밀폐공간 관리대장'!$A$1:$I$30</definedName>
    <definedName function="false" hidden="false" localSheetId="1" name="_xlnm.Print_Area" vbProcedure="false">'작업 전 확인서'!$A$1:$H$42</definedName>
    <definedName function="false" hidden="false" localSheetId="3" name="_xlnm.Print_Area" vbProcedure="false">'출입 인원 점검'!$A$1:$H$33</definedName>
    <definedName function="false" hidden="false" localSheetId="2" name="_xlnm.Print_Area" vbProcedure="false">'측정 기록(3년 보존)'!$A$1:$L$44</definedName>
    <definedName function="false" hidden="false" localSheetId="2" name="_xlnm.Print_Titles" vbProcedure="false">'측정 기록(3년 보존)'!$4:$4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<sst xmlns="http://schemas.openxmlformats.org/spreadsheetml/2006/main" count="157" uniqueCount="133">
  <si>
    <t xml:space="preserve">밀폐공간 작업 양식 — 작성 안내</t>
  </si>
  <si>
    <r>
      <rPr>
        <sz val="9"/>
        <color rgb="FF6B7280"/>
        <rFont val="맑은 고딕"/>
        <family val="0"/>
        <charset val="1"/>
      </rPr>
      <t xml:space="preserve">SafePlum </t>
    </r>
    <r>
      <rPr>
        <sz val="9"/>
        <color rgb="FF6B7280"/>
        <rFont val="Noto Sans CJK SC"/>
        <family val="2"/>
      </rPr>
      <t xml:space="preserve">무료 양식 </t>
    </r>
    <r>
      <rPr>
        <sz val="9"/>
        <color rgb="FF6B7280"/>
        <rFont val="맑은 고딕"/>
        <family val="0"/>
        <charset val="1"/>
      </rPr>
      <t xml:space="preserve">· safeplum.com — </t>
    </r>
    <r>
      <rPr>
        <sz val="9"/>
        <color rgb="FF6B7280"/>
        <rFont val="Noto Sans CJK SC"/>
        <family val="2"/>
      </rPr>
      <t xml:space="preserve">사업장 사정에 맞게 고쳐 쓰세요</t>
    </r>
  </si>
  <si>
    <t xml:space="preserve">■</t>
  </si>
  <si>
    <t xml:space="preserve">이 파일의 구성</t>
  </si>
  <si>
    <r>
      <rPr>
        <sz val="10"/>
        <color rgb="FF1F2937"/>
        <rFont val="Noto Sans CJK SC"/>
        <family val="2"/>
      </rPr>
      <t xml:space="preserve">작업 전 확인서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619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항 </t>
    </r>
    <r>
      <rPr>
        <sz val="10"/>
        <color rgb="FF1F2937"/>
        <rFont val="맑은 고딕"/>
        <family val="0"/>
        <charset val="1"/>
      </rPr>
      <t xml:space="preserve">6</t>
    </r>
    <r>
      <rPr>
        <sz val="10"/>
        <color rgb="FF1F2937"/>
        <rFont val="Noto Sans CJK SC"/>
        <family val="2"/>
      </rPr>
      <t xml:space="preserve">가지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작업 정보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작업자 정보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산소</t>
    </r>
    <r>
      <rPr>
        <sz val="10"/>
        <color rgb="FF1F2937"/>
        <rFont val="맑은 고딕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유해가스 측정 결과와 후속조치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누출 등 가능성 검토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보호구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비상연락체계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를 한 장에 확인하고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작업이 끝날 때까지 출입구에 붙입니다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).</t>
    </r>
  </si>
  <si>
    <r>
      <rPr>
        <sz val="10"/>
        <color rgb="FF1F2937"/>
        <rFont val="Noto Sans CJK SC"/>
        <family val="2"/>
      </rPr>
      <t xml:space="preserve">측정 기록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작업 시작 전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일시 중단 후 다시 시작할 때 포함</t>
    </r>
    <r>
      <rPr>
        <sz val="10"/>
        <color rgb="FF1F2937"/>
        <rFont val="맑은 고딕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지정된 측정자가 산소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유해가스를 측정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평가하고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측정자 성명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일시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장소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결과를 기록해 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년간 보존합니다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619</t>
    </r>
    <r>
      <rPr>
        <sz val="10"/>
        <color rgb="FF1F2937"/>
        <rFont val="Noto Sans CJK SC"/>
        <family val="2"/>
      </rPr>
      <t xml:space="preserve">조의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4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). </t>
    </r>
    <r>
      <rPr>
        <sz val="10"/>
        <color rgb="FF1F2937"/>
        <rFont val="Noto Sans CJK SC"/>
        <family val="2"/>
      </rPr>
      <t xml:space="preserve">숫자를 넣으면 적정공기 기준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618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호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과 비교해 판정이 자동으로 나옵니다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</si>
  <si>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출입 인원 점검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들어갈 때와 나올 때마다 인원을 점검합니다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621</t>
    </r>
    <r>
      <rPr>
        <sz val="10"/>
        <color rgb="FF1F2937"/>
        <rFont val="Noto Sans CJK SC"/>
        <family val="2"/>
      </rPr>
      <t xml:space="preserve">조</t>
    </r>
    <r>
      <rPr>
        <sz val="10"/>
        <color rgb="FF1F2937"/>
        <rFont val="맑은 고딕"/>
        <family val="0"/>
        <charset val="1"/>
      </rPr>
      <t xml:space="preserve">). </t>
    </r>
    <r>
      <rPr>
        <sz val="10"/>
        <color rgb="FF1F2937"/>
        <rFont val="Noto Sans CJK SC"/>
        <family val="2"/>
      </rPr>
      <t xml:space="preserve">퇴장 시각이 비어 있으면 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작업 중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으로 표시됩니다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</si>
  <si>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관리대장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사업장 밀폐공간의 위치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유해 요인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출입 통제를 정리하고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밀폐공간 작업 프로그램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619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), 6</t>
    </r>
    <r>
      <rPr>
        <sz val="10"/>
        <color rgb="FF1F2937"/>
        <rFont val="Noto Sans CJK SC"/>
        <family val="2"/>
      </rPr>
      <t xml:space="preserve">개월에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회 이상 긴급구조훈련 결과를 남깁니다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640</t>
    </r>
    <r>
      <rPr>
        <sz val="10"/>
        <color rgb="FF1F2937"/>
        <rFont val="Noto Sans CJK SC"/>
        <family val="2"/>
      </rPr>
      <t xml:space="preserve">조</t>
    </r>
    <r>
      <rPr>
        <sz val="10"/>
        <color rgb="FF1F2937"/>
        <rFont val="맑은 고딕"/>
        <family val="0"/>
        <charset val="1"/>
      </rPr>
      <t xml:space="preserve">).</t>
    </r>
  </si>
  <si>
    <t xml:space="preserve">주의</t>
  </si>
  <si>
    <r>
      <rPr>
        <sz val="10"/>
        <color rgb="FF1F2937"/>
        <rFont val="Noto Sans CJK SC"/>
        <family val="2"/>
      </rPr>
      <t xml:space="preserve">판정은 넣은 숫자를 기준과 비교한 결과일 뿐이며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측정 위치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장비 교정 상태가 적절한지는 판단하지 않습니다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네 가지 중 하나라도 비어 있으면 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미측정 항목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으로 표시됩니다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</si>
  <si>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밀폐공간에 해당하는 장소는 안전보건규칙 별표 </t>
    </r>
    <r>
      <rPr>
        <sz val="10"/>
        <color rgb="FF1F2937"/>
        <rFont val="맑은 고딕"/>
        <family val="0"/>
        <charset val="1"/>
      </rPr>
      <t xml:space="preserve">18 </t>
    </r>
    <r>
      <rPr>
        <sz val="10"/>
        <color rgb="FF1F2937"/>
        <rFont val="Noto Sans CJK SC"/>
        <family val="2"/>
      </rPr>
      <t xml:space="preserve">원문에서 확인해 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별표 </t>
    </r>
    <r>
      <rPr>
        <sz val="10"/>
        <color rgb="FF1F2937"/>
        <rFont val="맑은 고딕"/>
        <family val="0"/>
        <charset val="1"/>
      </rPr>
      <t xml:space="preserve">18 </t>
    </r>
    <r>
      <rPr>
        <sz val="10"/>
        <color rgb="FF1F2937"/>
        <rFont val="Noto Sans CJK SC"/>
        <family val="2"/>
      </rPr>
      <t xml:space="preserve">해당</t>
    </r>
    <r>
      <rPr>
        <sz val="10"/>
        <color rgb="FF1F2937"/>
        <rFont val="맑은 고딕"/>
        <family val="0"/>
        <charset val="1"/>
      </rPr>
      <t xml:space="preserve">' </t>
    </r>
    <r>
      <rPr>
        <sz val="10"/>
        <color rgb="FF1F2937"/>
        <rFont val="Noto Sans CJK SC"/>
        <family val="2"/>
      </rPr>
      <t xml:space="preserve">칸에 적으세요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</si>
  <si>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적정공기가 유지되지 않으면 환기하거나 공기호흡기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송기마스크를 지급해 착용시키는 등 필요한 조치를 해야 합니다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619</t>
    </r>
    <r>
      <rPr>
        <sz val="10"/>
        <color rgb="FF1F2937"/>
        <rFont val="Noto Sans CJK SC"/>
        <family val="2"/>
      </rPr>
      <t xml:space="preserve">조의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620</t>
    </r>
    <r>
      <rPr>
        <sz val="10"/>
        <color rgb="FF1F2937"/>
        <rFont val="Noto Sans CJK SC"/>
        <family val="2"/>
      </rPr>
      <t xml:space="preserve">조</t>
    </r>
    <r>
      <rPr>
        <sz val="10"/>
        <color rgb="FF1F2937"/>
        <rFont val="맑은 고딕"/>
        <family val="0"/>
        <charset val="1"/>
      </rPr>
      <t xml:space="preserve">).</t>
    </r>
  </si>
  <si>
    <r>
      <rPr>
        <i val="true"/>
        <sz val="9"/>
        <color rgb="FF6B7280"/>
        <rFont val="Noto Sans CJK SC"/>
        <family val="2"/>
      </rPr>
      <t xml:space="preserve">근거</t>
    </r>
    <r>
      <rPr>
        <i val="true"/>
        <sz val="9"/>
        <color rgb="FF6B7280"/>
        <rFont val="맑은 고딕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산업안전보건기준에 관한 규칙 제</t>
    </r>
    <r>
      <rPr>
        <i val="true"/>
        <sz val="9"/>
        <color rgb="FF6B7280"/>
        <rFont val="맑은 고딕"/>
        <family val="0"/>
        <charset val="1"/>
      </rPr>
      <t xml:space="preserve">618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제</t>
    </r>
    <r>
      <rPr>
        <i val="true"/>
        <sz val="9"/>
        <color rgb="FF6B7280"/>
        <rFont val="맑은 고딕"/>
        <family val="0"/>
        <charset val="1"/>
      </rPr>
      <t xml:space="preserve">619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제</t>
    </r>
    <r>
      <rPr>
        <i val="true"/>
        <sz val="9"/>
        <color rgb="FF6B7280"/>
        <rFont val="맑은 고딕"/>
        <family val="0"/>
        <charset val="1"/>
      </rPr>
      <t xml:space="preserve">619</t>
    </r>
    <r>
      <rPr>
        <i val="true"/>
        <sz val="9"/>
        <color rgb="FF6B7280"/>
        <rFont val="Noto Sans CJK SC"/>
        <family val="2"/>
      </rPr>
      <t xml:space="preserve">조의</t>
    </r>
    <r>
      <rPr>
        <i val="true"/>
        <sz val="9"/>
        <color rgb="FF6B7280"/>
        <rFont val="맑은 고딕"/>
        <family val="0"/>
        <charset val="1"/>
      </rPr>
      <t xml:space="preserve">2·</t>
    </r>
    <r>
      <rPr>
        <i val="true"/>
        <sz val="9"/>
        <color rgb="FF6B7280"/>
        <rFont val="Noto Sans CJK SC"/>
        <family val="2"/>
      </rPr>
      <t xml:space="preserve">제</t>
    </r>
    <r>
      <rPr>
        <i val="true"/>
        <sz val="9"/>
        <color rgb="FF6B7280"/>
        <rFont val="맑은 고딕"/>
        <family val="0"/>
        <charset val="1"/>
      </rPr>
      <t xml:space="preserve">620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제</t>
    </r>
    <r>
      <rPr>
        <i val="true"/>
        <sz val="9"/>
        <color rgb="FF6B7280"/>
        <rFont val="맑은 고딕"/>
        <family val="0"/>
        <charset val="1"/>
      </rPr>
      <t xml:space="preserve">621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제</t>
    </r>
    <r>
      <rPr>
        <i val="true"/>
        <sz val="9"/>
        <color rgb="FF6B7280"/>
        <rFont val="맑은 고딕"/>
        <family val="0"/>
        <charset val="1"/>
      </rPr>
      <t xml:space="preserve">640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. </t>
    </r>
    <r>
      <rPr>
        <i val="true"/>
        <sz val="9"/>
        <color rgb="FF6B7280"/>
        <rFont val="Noto Sans CJK SC"/>
        <family val="2"/>
      </rPr>
      <t xml:space="preserve">화면으로 작성</t>
    </r>
    <r>
      <rPr>
        <i val="true"/>
        <sz val="9"/>
        <color rgb="FF6B7280"/>
        <rFont val="맑은 고딕"/>
        <family val="0"/>
        <charset val="1"/>
      </rPr>
      <t xml:space="preserve">: safeplum.com/tools/confined/</t>
    </r>
  </si>
  <si>
    <t xml:space="preserve">밀폐공간 작업 전 확인서</t>
  </si>
  <si>
    <t xml:space="preserve">결
재</t>
  </si>
  <si>
    <t xml:space="preserve">관리감독자</t>
  </si>
  <si>
    <t xml:space="preserve">안전관리자</t>
  </si>
  <si>
    <t xml:space="preserve">허가</t>
  </si>
  <si>
    <r>
      <rPr>
        <sz val="9"/>
        <color rgb="FF6B7280"/>
        <rFont val="Noto Sans CJK SC"/>
        <family val="2"/>
      </rPr>
      <t xml:space="preserve">안전보건규칙 제</t>
    </r>
    <r>
      <rPr>
        <sz val="9"/>
        <color rgb="FF6B7280"/>
        <rFont val="맑은 고딕"/>
        <family val="0"/>
        <charset val="1"/>
      </rPr>
      <t xml:space="preserve">619</t>
    </r>
    <r>
      <rPr>
        <sz val="9"/>
        <color rgb="FF6B7280"/>
        <rFont val="Noto Sans CJK SC"/>
        <family val="2"/>
      </rPr>
      <t xml:space="preserve">조제</t>
    </r>
    <r>
      <rPr>
        <sz val="9"/>
        <color rgb="FF6B7280"/>
        <rFont val="맑은 고딕"/>
        <family val="0"/>
        <charset val="1"/>
      </rPr>
      <t xml:space="preserve">2</t>
    </r>
    <r>
      <rPr>
        <sz val="9"/>
        <color rgb="FF6B7280"/>
        <rFont val="Noto Sans CJK SC"/>
        <family val="2"/>
      </rPr>
      <t xml:space="preserve">항 — 작업이 끝날 때까지 출입구에 게시</t>
    </r>
    <r>
      <rPr>
        <sz val="9"/>
        <color rgb="FF6B7280"/>
        <rFont val="맑은 고딕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3</t>
    </r>
    <r>
      <rPr>
        <sz val="9"/>
        <color rgb="FF6B7280"/>
        <rFont val="Noto Sans CJK SC"/>
        <family val="2"/>
      </rPr>
      <t xml:space="preserve">항</t>
    </r>
    <r>
      <rPr>
        <sz val="9"/>
        <color rgb="FF6B7280"/>
        <rFont val="맑은 고딕"/>
        <family val="0"/>
        <charset val="1"/>
      </rPr>
      <t xml:space="preserve">)</t>
    </r>
  </si>
  <si>
    <r>
      <rPr>
        <b val="true"/>
        <sz val="10.5"/>
        <color rgb="FFFFFFFF"/>
        <rFont val="맑은 고딕"/>
        <family val="0"/>
        <charset val="1"/>
      </rPr>
      <t xml:space="preserve">1. </t>
    </r>
    <r>
      <rPr>
        <b val="true"/>
        <sz val="10.5"/>
        <color rgb="FFFFFFFF"/>
        <rFont val="Noto Sans CJK SC"/>
        <family val="2"/>
      </rPr>
      <t xml:space="preserve">작업 정보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일시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기간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장소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내용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</si>
  <si>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작업 일시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</si>
  <si>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2026-10-27 09:00~11:30</t>
    </r>
  </si>
  <si>
    <t xml:space="preserve">작업 기간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</si>
  <si>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1</t>
    </r>
    <r>
      <rPr>
        <i val="true"/>
        <sz val="9.5"/>
        <color rgb="FF8A94A3"/>
        <rFont val="Noto Sans CJK SC"/>
        <family val="2"/>
      </rPr>
      <t xml:space="preserve">일</t>
    </r>
  </si>
  <si>
    <t xml:space="preserve">밀폐공간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</si>
  <si>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오폐수처리장 집수정 </t>
    </r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호</t>
    </r>
  </si>
  <si>
    <t xml:space="preserve">작업 인원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</si>
  <si>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3</t>
    </r>
    <r>
      <rPr>
        <i val="true"/>
        <sz val="9.5"/>
        <color rgb="FF8A94A3"/>
        <rFont val="Noto Sans CJK SC"/>
        <family val="2"/>
      </rPr>
      <t xml:space="preserve">명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작업 </t>
    </r>
    <r>
      <rPr>
        <i val="true"/>
        <sz val="9.5"/>
        <color rgb="FF8A94A3"/>
        <rFont val="맑은 고딕"/>
        <family val="0"/>
        <charset val="1"/>
      </rPr>
      <t xml:space="preserve">2·</t>
    </r>
    <r>
      <rPr>
        <i val="true"/>
        <sz val="9.5"/>
        <color rgb="FF8A94A3"/>
        <rFont val="Noto Sans CJK SC"/>
        <family val="2"/>
      </rPr>
      <t xml:space="preserve">감시 </t>
    </r>
    <r>
      <rPr>
        <i val="true"/>
        <sz val="9.5"/>
        <color rgb="FF8A94A3"/>
        <rFont val="맑은 고딕"/>
        <family val="0"/>
        <charset val="1"/>
      </rPr>
      <t xml:space="preserve">1)</t>
    </r>
  </si>
  <si>
    <t xml:space="preserve">작업 내용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</si>
  <si>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집수정 바닥 슬러지 제거 및 수중펌프 교체</t>
    </r>
  </si>
  <si>
    <r>
      <rPr>
        <b val="true"/>
        <sz val="10.5"/>
        <color rgb="FFFFFFFF"/>
        <rFont val="맑은 고딕"/>
        <family val="0"/>
        <charset val="1"/>
      </rPr>
      <t xml:space="preserve">2. </t>
    </r>
    <r>
      <rPr>
        <b val="true"/>
        <sz val="10.5"/>
        <color rgb="FFFFFFFF"/>
        <rFont val="Noto Sans CJK SC"/>
        <family val="2"/>
      </rPr>
      <t xml:space="preserve">작업자 정보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관리감독자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감시인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측정자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작업자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</si>
  <si>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역할</t>
  </si>
  <si>
    <t xml:space="preserve">성명</t>
  </si>
  <si>
    <t xml:space="preserve">소속</t>
  </si>
  <si>
    <t xml:space="preserve">연락처</t>
  </si>
  <si>
    <r>
      <rPr>
        <b val="true"/>
        <sz val="9.5"/>
        <color rgb="FF13233A"/>
        <rFont val="Noto Sans CJK SC"/>
        <family val="2"/>
      </rPr>
      <t xml:space="preserve">교육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숙지 확인</t>
    </r>
  </si>
  <si>
    <t xml:space="preserve">감시인</t>
  </si>
  <si>
    <t xml:space="preserve">측정자</t>
  </si>
  <si>
    <t xml:space="preserve">작업자</t>
  </si>
  <si>
    <r>
      <rPr>
        <b val="true"/>
        <sz val="10.5"/>
        <color rgb="FFFFFFFF"/>
        <rFont val="맑은 고딕"/>
        <family val="0"/>
        <charset val="1"/>
      </rPr>
      <t xml:space="preserve">3. </t>
    </r>
    <r>
      <rPr>
        <b val="true"/>
        <sz val="10.5"/>
        <color rgb="FFFFFFFF"/>
        <rFont val="Noto Sans CJK SC"/>
        <family val="2"/>
      </rPr>
      <t xml:space="preserve">산소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유해가스 측정 결과와 후속조치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작업 시작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재개 전마다</t>
    </r>
    <r>
      <rPr>
        <b val="true"/>
        <sz val="10.5"/>
        <color rgb="FFFFFFFF"/>
        <rFont val="맑은 고딕"/>
        <family val="0"/>
        <charset val="1"/>
      </rPr>
      <t xml:space="preserve">, </t>
    </r>
    <r>
      <rPr>
        <b val="true"/>
        <sz val="10.5"/>
        <color rgb="FFFFFFFF"/>
        <rFont val="Noto Sans CJK SC"/>
        <family val="2"/>
      </rPr>
      <t xml:space="preserve">제</t>
    </r>
    <r>
      <rPr>
        <b val="true"/>
        <sz val="10.5"/>
        <color rgb="FFFFFFFF"/>
        <rFont val="맑은 고딕"/>
        <family val="0"/>
        <charset val="1"/>
      </rPr>
      <t xml:space="preserve">619</t>
    </r>
    <r>
      <rPr>
        <b val="true"/>
        <sz val="10.5"/>
        <color rgb="FFFFFFFF"/>
        <rFont val="Noto Sans CJK SC"/>
        <family val="2"/>
      </rPr>
      <t xml:space="preserve">조의</t>
    </r>
    <r>
      <rPr>
        <b val="true"/>
        <sz val="10.5"/>
        <color rgb="FFFFFFFF"/>
        <rFont val="맑은 고딕"/>
        <family val="0"/>
        <charset val="1"/>
      </rPr>
      <t xml:space="preserve">2)</t>
    </r>
  </si>
  <si>
    <t xml:space="preserve">측정 시각</t>
  </si>
  <si>
    <t xml:space="preserve">위치</t>
  </si>
  <si>
    <r>
      <rPr>
        <b val="true"/>
        <sz val="9.5"/>
        <color rgb="FF13233A"/>
        <rFont val="Noto Sans CJK SC"/>
        <family val="2"/>
      </rPr>
      <t xml:space="preserve">산소 </t>
    </r>
    <r>
      <rPr>
        <b val="true"/>
        <sz val="9.5"/>
        <color rgb="FF13233A"/>
        <rFont val="맑은 고딕"/>
        <family val="0"/>
        <charset val="1"/>
      </rPr>
      <t xml:space="preserve">%</t>
    </r>
  </si>
  <si>
    <r>
      <rPr>
        <b val="true"/>
        <sz val="9.5"/>
        <color rgb="FF13233A"/>
        <rFont val="Noto Sans CJK SC"/>
        <family val="2"/>
      </rPr>
      <t xml:space="preserve">이산화탄소 </t>
    </r>
    <r>
      <rPr>
        <b val="true"/>
        <sz val="9.5"/>
        <color rgb="FF13233A"/>
        <rFont val="맑은 고딕"/>
        <family val="0"/>
        <charset val="1"/>
      </rPr>
      <t xml:space="preserve">%</t>
    </r>
  </si>
  <si>
    <r>
      <rPr>
        <b val="true"/>
        <sz val="9.5"/>
        <color rgb="FF13233A"/>
        <rFont val="Noto Sans CJK SC"/>
        <family val="2"/>
      </rPr>
      <t xml:space="preserve">일산화탄소 </t>
    </r>
    <r>
      <rPr>
        <b val="true"/>
        <sz val="9.5"/>
        <color rgb="FF13233A"/>
        <rFont val="맑은 고딕"/>
        <family val="0"/>
        <charset val="1"/>
      </rPr>
      <t xml:space="preserve">ppm</t>
    </r>
  </si>
  <si>
    <r>
      <rPr>
        <b val="true"/>
        <sz val="9.5"/>
        <color rgb="FF13233A"/>
        <rFont val="Noto Sans CJK SC"/>
        <family val="2"/>
      </rPr>
      <t xml:space="preserve">황화수소 </t>
    </r>
    <r>
      <rPr>
        <b val="true"/>
        <sz val="9.5"/>
        <color rgb="FF13233A"/>
        <rFont val="맑은 고딕"/>
        <family val="0"/>
        <charset val="1"/>
      </rPr>
      <t xml:space="preserve">ppm</t>
    </r>
  </si>
  <si>
    <r>
      <rPr>
        <b val="true"/>
        <sz val="9.5"/>
        <color rgb="FF13233A"/>
        <rFont val="Noto Sans CJK SC"/>
        <family val="2"/>
      </rPr>
      <t xml:space="preserve">판정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자동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</si>
  <si>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후속 조치</t>
  </si>
  <si>
    <t xml:space="preserve">09:05</t>
  </si>
  <si>
    <r>
      <rPr>
        <i val="true"/>
        <sz val="9.5"/>
        <color rgb="FF8A94A3"/>
        <rFont val="Noto Sans CJK SC"/>
        <family val="2"/>
      </rPr>
      <t xml:space="preserve">상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중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하</t>
    </r>
  </si>
  <si>
    <t xml:space="preserve">환기 유지</t>
  </si>
  <si>
    <r>
      <rPr>
        <sz val="8.5"/>
        <color rgb="FF6B7280"/>
        <rFont val="Noto Sans CJK SC"/>
        <family val="2"/>
      </rPr>
      <t xml:space="preserve">적정공기</t>
    </r>
    <r>
      <rPr>
        <sz val="8.5"/>
        <color rgb="FF6B7280"/>
        <rFont val="맑은 고딕"/>
        <family val="0"/>
        <charset val="1"/>
      </rPr>
      <t xml:space="preserve">: </t>
    </r>
    <r>
      <rPr>
        <sz val="8.5"/>
        <color rgb="FF6B7280"/>
        <rFont val="Noto Sans CJK SC"/>
        <family val="2"/>
      </rPr>
      <t xml:space="preserve">산소 </t>
    </r>
    <r>
      <rPr>
        <sz val="8.5"/>
        <color rgb="FF6B7280"/>
        <rFont val="맑은 고딕"/>
        <family val="0"/>
        <charset val="1"/>
      </rPr>
      <t xml:space="preserve">18% </t>
    </r>
    <r>
      <rPr>
        <sz val="8.5"/>
        <color rgb="FF6B7280"/>
        <rFont val="Noto Sans CJK SC"/>
        <family val="2"/>
      </rPr>
      <t xml:space="preserve">이상 </t>
    </r>
    <r>
      <rPr>
        <sz val="8.5"/>
        <color rgb="FF6B7280"/>
        <rFont val="맑은 고딕"/>
        <family val="0"/>
        <charset val="1"/>
      </rPr>
      <t xml:space="preserve">23.5% </t>
    </r>
    <r>
      <rPr>
        <sz val="8.5"/>
        <color rgb="FF6B7280"/>
        <rFont val="Noto Sans CJK SC"/>
        <family val="2"/>
      </rPr>
      <t xml:space="preserve">미만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이산화탄소 </t>
    </r>
    <r>
      <rPr>
        <sz val="8.5"/>
        <color rgb="FF6B7280"/>
        <rFont val="맑은 고딕"/>
        <family val="0"/>
        <charset val="1"/>
      </rPr>
      <t xml:space="preserve">1.5% </t>
    </r>
    <r>
      <rPr>
        <sz val="8.5"/>
        <color rgb="FF6B7280"/>
        <rFont val="Noto Sans CJK SC"/>
        <family val="2"/>
      </rPr>
      <t xml:space="preserve">미만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일산화탄소 </t>
    </r>
    <r>
      <rPr>
        <sz val="8.5"/>
        <color rgb="FF6B7280"/>
        <rFont val="맑은 고딕"/>
        <family val="0"/>
        <charset val="1"/>
      </rPr>
      <t xml:space="preserve">30ppm </t>
    </r>
    <r>
      <rPr>
        <sz val="8.5"/>
        <color rgb="FF6B7280"/>
        <rFont val="Noto Sans CJK SC"/>
        <family val="2"/>
      </rPr>
      <t xml:space="preserve">미만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황화수소 </t>
    </r>
    <r>
      <rPr>
        <sz val="8.5"/>
        <color rgb="FF6B7280"/>
        <rFont val="맑은 고딕"/>
        <family val="0"/>
        <charset val="1"/>
      </rPr>
      <t xml:space="preserve">10ppm </t>
    </r>
    <r>
      <rPr>
        <sz val="8.5"/>
        <color rgb="FF6B7280"/>
        <rFont val="Noto Sans CJK SC"/>
        <family val="2"/>
      </rPr>
      <t xml:space="preserve">미만 </t>
    </r>
    <r>
      <rPr>
        <sz val="8.5"/>
        <color rgb="FF6B7280"/>
        <rFont val="맑은 고딕"/>
        <family val="0"/>
        <charset val="1"/>
      </rPr>
      <t xml:space="preserve">(</t>
    </r>
    <r>
      <rPr>
        <sz val="8.5"/>
        <color rgb="FF6B7280"/>
        <rFont val="Noto Sans CJK SC"/>
        <family val="2"/>
      </rPr>
      <t xml:space="preserve">제</t>
    </r>
    <r>
      <rPr>
        <sz val="8.5"/>
        <color rgb="FF6B7280"/>
        <rFont val="맑은 고딕"/>
        <family val="0"/>
        <charset val="1"/>
      </rPr>
      <t xml:space="preserve">618</t>
    </r>
    <r>
      <rPr>
        <sz val="8.5"/>
        <color rgb="FF6B7280"/>
        <rFont val="Noto Sans CJK SC"/>
        <family val="2"/>
      </rPr>
      <t xml:space="preserve">조제</t>
    </r>
    <r>
      <rPr>
        <sz val="8.5"/>
        <color rgb="FF6B7280"/>
        <rFont val="맑은 고딕"/>
        <family val="0"/>
        <charset val="1"/>
      </rPr>
      <t xml:space="preserve">3</t>
    </r>
    <r>
      <rPr>
        <sz val="8.5"/>
        <color rgb="FF6B7280"/>
        <rFont val="Noto Sans CJK SC"/>
        <family val="2"/>
      </rPr>
      <t xml:space="preserve">호</t>
    </r>
    <r>
      <rPr>
        <sz val="8.5"/>
        <color rgb="FF6B7280"/>
        <rFont val="맑은 고딕"/>
        <family val="0"/>
        <charset val="1"/>
      </rPr>
      <t xml:space="preserve">)</t>
    </r>
  </si>
  <si>
    <r>
      <rPr>
        <b val="true"/>
        <sz val="10.5"/>
        <color rgb="FFFFFFFF"/>
        <rFont val="맑은 고딕"/>
        <family val="0"/>
        <charset val="1"/>
      </rPr>
      <t xml:space="preserve">4. </t>
    </r>
    <r>
      <rPr>
        <b val="true"/>
        <sz val="10.5"/>
        <color rgb="FFFFFFFF"/>
        <rFont val="Noto Sans CJK SC"/>
        <family val="2"/>
      </rPr>
      <t xml:space="preserve">작업 중 불활성가스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유해가스 누출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유입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발생 가능성 검토와 후속조치</t>
    </r>
  </si>
  <si>
    <t xml:space="preserve">검토 항목</t>
  </si>
  <si>
    <t xml:space="preserve">가능성</t>
  </si>
  <si>
    <r>
      <rPr>
        <sz val="9.5"/>
        <color rgb="FF1F2937"/>
        <rFont val="Noto Sans CJK SC"/>
        <family val="2"/>
      </rPr>
      <t xml:space="preserve">연결 배관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밸브로 유입</t>
    </r>
  </si>
  <si>
    <t xml:space="preserve">있음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</si>
  <si>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유입 밸브 잠금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표지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맹판 설치</t>
    </r>
  </si>
  <si>
    <r>
      <rPr>
        <sz val="9.5"/>
        <color rgb="FF1F2937"/>
        <rFont val="Noto Sans CJK SC"/>
        <family val="2"/>
      </rPr>
      <t xml:space="preserve">불활성가스</t>
    </r>
    <r>
      <rPr>
        <sz val="9.5"/>
        <color rgb="FF1F2937"/>
        <rFont val="맑은 고딕"/>
        <family val="0"/>
        <charset val="1"/>
      </rPr>
      <t xml:space="preserve">(</t>
    </r>
    <r>
      <rPr>
        <sz val="9.5"/>
        <color rgb="FF1F2937"/>
        <rFont val="Noto Sans CJK SC"/>
        <family val="2"/>
      </rPr>
      <t xml:space="preserve">질소 등</t>
    </r>
    <r>
      <rPr>
        <sz val="9.5"/>
        <color rgb="FF1F2937"/>
        <rFont val="맑은 고딕"/>
        <family val="0"/>
        <charset val="1"/>
      </rPr>
      <t xml:space="preserve">) </t>
    </r>
    <r>
      <rPr>
        <sz val="9.5"/>
        <color rgb="FF1F2937"/>
        <rFont val="Noto Sans CJK SC"/>
        <family val="2"/>
      </rPr>
      <t xml:space="preserve">퍼지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누출</t>
    </r>
  </si>
  <si>
    <r>
      <rPr>
        <sz val="9.5"/>
        <color rgb="FF1F2937"/>
        <rFont val="Noto Sans CJK SC"/>
        <family val="2"/>
      </rPr>
      <t xml:space="preserve">슬러지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부패물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화학반응으로 발생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</si>
  <si>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교반 시 황화수소 발생 — 연속 측정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송기마스크</t>
    </r>
  </si>
  <si>
    <r>
      <rPr>
        <sz val="9.5"/>
        <color rgb="FF1F2937"/>
        <rFont val="Noto Sans CJK SC"/>
        <family val="2"/>
      </rPr>
      <t xml:space="preserve">작업 자체에서 발생</t>
    </r>
    <r>
      <rPr>
        <sz val="9.5"/>
        <color rgb="FF1F2937"/>
        <rFont val="맑은 고딕"/>
        <family val="0"/>
        <charset val="1"/>
      </rPr>
      <t xml:space="preserve">(</t>
    </r>
    <r>
      <rPr>
        <sz val="9.5"/>
        <color rgb="FF1F2937"/>
        <rFont val="Noto Sans CJK SC"/>
        <family val="2"/>
      </rPr>
      <t xml:space="preserve">용접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도장 등</t>
    </r>
    <r>
      <rPr>
        <sz val="9.5"/>
        <color rgb="FF1F2937"/>
        <rFont val="맑은 고딕"/>
        <family val="0"/>
        <charset val="1"/>
      </rPr>
      <t xml:space="preserve">)</t>
    </r>
  </si>
  <si>
    <r>
      <rPr>
        <b val="true"/>
        <sz val="10.5"/>
        <color rgb="FFFFFFFF"/>
        <rFont val="맑은 고딕"/>
        <family val="0"/>
        <charset val="1"/>
      </rPr>
      <t xml:space="preserve">5. </t>
    </r>
    <r>
      <rPr>
        <b val="true"/>
        <sz val="10.5"/>
        <color rgb="FFFFFFFF"/>
        <rFont val="Noto Sans CJK SC"/>
        <family val="2"/>
      </rPr>
      <t xml:space="preserve">착용할 보호구 </t>
    </r>
    <r>
      <rPr>
        <b val="true"/>
        <sz val="10.5"/>
        <color rgb="FFFFFFFF"/>
        <rFont val="맑은 고딕"/>
        <family val="0"/>
        <charset val="1"/>
      </rPr>
      <t xml:space="preserve">· </t>
    </r>
    <r>
      <rPr>
        <b val="true"/>
        <sz val="10.5"/>
        <color rgb="FFFFFFFF"/>
        <rFont val="Noto Sans CJK SC"/>
        <family val="2"/>
      </rPr>
      <t xml:space="preserve">환기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제</t>
    </r>
    <r>
      <rPr>
        <b val="true"/>
        <sz val="10.5"/>
        <color rgb="FFFFFFFF"/>
        <rFont val="맑은 고딕"/>
        <family val="0"/>
        <charset val="1"/>
      </rPr>
      <t xml:space="preserve">620</t>
    </r>
    <r>
      <rPr>
        <b val="true"/>
        <sz val="10.5"/>
        <color rgb="FFFFFFFF"/>
        <rFont val="Noto Sans CJK SC"/>
        <family val="2"/>
      </rPr>
      <t xml:space="preserve">조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</si>
  <si>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공기호흡기</t>
  </si>
  <si>
    <t xml:space="preserve">송기마스크</t>
  </si>
  <si>
    <r>
      <rPr>
        <sz val="9.5"/>
        <color rgb="FF1F2937"/>
        <rFont val="Noto Sans CJK SC"/>
        <family val="2"/>
      </rPr>
      <t xml:space="preserve">안전대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구명밧줄</t>
    </r>
  </si>
  <si>
    <t xml:space="preserve">안전모</t>
  </si>
  <si>
    <t xml:space="preserve">휴대용 가스측정기</t>
  </si>
  <si>
    <t xml:space="preserve">기타</t>
  </si>
  <si>
    <t xml:space="preserve">환기 방법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</si>
  <si>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송풍기 </t>
    </r>
    <r>
      <rPr>
        <i val="true"/>
        <sz val="9.5"/>
        <color rgb="FF8A94A3"/>
        <rFont val="맑은 고딕"/>
        <family val="0"/>
        <charset val="1"/>
      </rPr>
      <t xml:space="preserve">1</t>
    </r>
    <r>
      <rPr>
        <i val="true"/>
        <sz val="9.5"/>
        <color rgb="FF8A94A3"/>
        <rFont val="Noto Sans CJK SC"/>
        <family val="2"/>
      </rPr>
      <t xml:space="preserve">대 작업 </t>
    </r>
    <r>
      <rPr>
        <i val="true"/>
        <sz val="9.5"/>
        <color rgb="FF8A94A3"/>
        <rFont val="맑은 고딕"/>
        <family val="0"/>
        <charset val="1"/>
      </rPr>
      <t xml:space="preserve">30</t>
    </r>
    <r>
      <rPr>
        <i val="true"/>
        <sz val="9.5"/>
        <color rgb="FF8A94A3"/>
        <rFont val="Noto Sans CJK SC"/>
        <family val="2"/>
      </rPr>
      <t xml:space="preserve">분 전부터 작업 끝까지 연속 가동</t>
    </r>
  </si>
  <si>
    <r>
      <rPr>
        <b val="true"/>
        <sz val="10.5"/>
        <color rgb="FFFFFFFF"/>
        <rFont val="맑은 고딕"/>
        <family val="0"/>
        <charset val="1"/>
      </rPr>
      <t xml:space="preserve">6. </t>
    </r>
    <r>
      <rPr>
        <b val="true"/>
        <sz val="10.5"/>
        <color rgb="FFFFFFFF"/>
        <rFont val="Noto Sans CJK SC"/>
        <family val="2"/>
      </rPr>
      <t xml:space="preserve">비상연락체계</t>
    </r>
  </si>
  <si>
    <t xml:space="preserve">감시인 → 보고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</si>
  <si>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감시인 → 관리감독자</t>
    </r>
    <r>
      <rPr>
        <i val="true"/>
        <sz val="9.5"/>
        <color rgb="FF8A94A3"/>
        <rFont val="맑은 고딕"/>
        <family val="0"/>
        <charset val="1"/>
      </rPr>
      <t xml:space="preserve">(010-…) → 119·</t>
    </r>
    <r>
      <rPr>
        <i val="true"/>
        <sz val="9.5"/>
        <color rgb="FF8A94A3"/>
        <rFont val="Noto Sans CJK SC"/>
        <family val="2"/>
      </rPr>
      <t xml:space="preserve">사내 비상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내선 …</t>
    </r>
    <r>
      <rPr>
        <i val="true"/>
        <sz val="9.5"/>
        <color rgb="FF8A94A3"/>
        <rFont val="맑은 고딕"/>
        <family val="0"/>
        <charset val="1"/>
      </rPr>
      <t xml:space="preserve">)</t>
    </r>
  </si>
  <si>
    <t xml:space="preserve">구조 장비 위치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</si>
  <si>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공기호흡기 </t>
    </r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조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삼각대 — 처리장 입구</t>
    </r>
  </si>
  <si>
    <r>
      <rPr>
        <b val="true"/>
        <sz val="9"/>
        <color rgb="FFD92D20"/>
        <rFont val="Noto Sans CJK SC"/>
        <family val="2"/>
      </rPr>
      <t xml:space="preserve">사고가 나면 감시인은 들어가지 말고 구조 요청 — 구조하는 사람도 공기호흡기 또는 송기마스크를 착용해야 합니다</t>
    </r>
    <r>
      <rPr>
        <b val="true"/>
        <sz val="9"/>
        <color rgb="FFD92D20"/>
        <rFont val="맑은 고딕"/>
        <family val="0"/>
        <charset val="1"/>
      </rPr>
      <t xml:space="preserve">.</t>
    </r>
  </si>
  <si>
    <r>
      <rPr>
        <sz val="8.5"/>
        <color rgb="FF6B7280"/>
        <rFont val="Noto Sans CJK SC"/>
        <family val="2"/>
      </rPr>
      <t xml:space="preserve">흰 칸에 입력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회색 기울임 글씨는 예시</t>
    </r>
    <r>
      <rPr>
        <sz val="8.5"/>
        <color rgb="FF6B7280"/>
        <rFont val="맑은 고딕"/>
        <family val="0"/>
        <charset val="1"/>
      </rPr>
      <t xml:space="preserve">(</t>
    </r>
    <r>
      <rPr>
        <sz val="8.5"/>
        <color rgb="FF6B7280"/>
        <rFont val="Noto Sans CJK SC"/>
        <family val="2"/>
      </rPr>
      <t xml:space="preserve">지우고 쓰기</t>
    </r>
    <r>
      <rPr>
        <sz val="8.5"/>
        <color rgb="FF6B7280"/>
        <rFont val="맑은 고딕"/>
        <family val="0"/>
        <charset val="1"/>
      </rPr>
      <t xml:space="preserve">) · </t>
    </r>
    <r>
      <rPr>
        <sz val="8.5"/>
        <color rgb="FF6B7280"/>
        <rFont val="Noto Sans CJK SC"/>
        <family val="2"/>
      </rPr>
      <t xml:space="preserve">색이 있는 칸은 자동 계산</t>
    </r>
  </si>
  <si>
    <r>
      <rPr>
        <b val="true"/>
        <sz val="18"/>
        <color rgb="FF13233A"/>
        <rFont val="Noto Sans CJK SC"/>
        <family val="2"/>
      </rPr>
      <t xml:space="preserve">밀폐공간 산소</t>
    </r>
    <r>
      <rPr>
        <b val="true"/>
        <sz val="18"/>
        <color rgb="FF13233A"/>
        <rFont val="맑은 고딕"/>
        <family val="0"/>
        <charset val="1"/>
      </rPr>
      <t xml:space="preserve">·</t>
    </r>
    <r>
      <rPr>
        <b val="true"/>
        <sz val="18"/>
        <color rgb="FF13233A"/>
        <rFont val="Noto Sans CJK SC"/>
        <family val="2"/>
      </rPr>
      <t xml:space="preserve">유해가스 측정 기록</t>
    </r>
  </si>
  <si>
    <r>
      <rPr>
        <sz val="9"/>
        <color rgb="FF6B7280"/>
        <rFont val="Noto Sans CJK SC"/>
        <family val="2"/>
      </rPr>
      <t xml:space="preserve">측정</t>
    </r>
    <r>
      <rPr>
        <sz val="9"/>
        <color rgb="FF6B7280"/>
        <rFont val="맑은 고딕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평가한 사람의 성명</t>
    </r>
    <r>
      <rPr>
        <sz val="9"/>
        <color rgb="FF6B7280"/>
        <rFont val="맑은 고딕"/>
        <family val="0"/>
        <charset val="1"/>
      </rPr>
      <t xml:space="preserve">, </t>
    </r>
    <r>
      <rPr>
        <sz val="9"/>
        <color rgb="FF6B7280"/>
        <rFont val="Noto Sans CJK SC"/>
        <family val="2"/>
      </rPr>
      <t xml:space="preserve">일시</t>
    </r>
    <r>
      <rPr>
        <sz val="9"/>
        <color rgb="FF6B7280"/>
        <rFont val="맑은 고딕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장소</t>
    </r>
    <r>
      <rPr>
        <sz val="9"/>
        <color rgb="FF6B7280"/>
        <rFont val="맑은 고딕"/>
        <family val="0"/>
        <charset val="1"/>
      </rPr>
      <t xml:space="preserve">, </t>
    </r>
    <r>
      <rPr>
        <sz val="9"/>
        <color rgb="FF6B7280"/>
        <rFont val="Noto Sans CJK SC"/>
        <family val="2"/>
      </rPr>
      <t xml:space="preserve">결과를 기록해 </t>
    </r>
    <r>
      <rPr>
        <sz val="9"/>
        <color rgb="FF6B7280"/>
        <rFont val="맑은 고딕"/>
        <family val="0"/>
        <charset val="1"/>
      </rPr>
      <t xml:space="preserve">3</t>
    </r>
    <r>
      <rPr>
        <sz val="9"/>
        <color rgb="FF6B7280"/>
        <rFont val="Noto Sans CJK SC"/>
        <family val="2"/>
      </rPr>
      <t xml:space="preserve">년간 보존 </t>
    </r>
    <r>
      <rPr>
        <sz val="9"/>
        <color rgb="FF6B7280"/>
        <rFont val="맑은 고딕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안전보건규칙 제</t>
    </r>
    <r>
      <rPr>
        <sz val="9"/>
        <color rgb="FF6B7280"/>
        <rFont val="맑은 고딕"/>
        <family val="0"/>
        <charset val="1"/>
      </rPr>
      <t xml:space="preserve">619</t>
    </r>
    <r>
      <rPr>
        <sz val="9"/>
        <color rgb="FF6B7280"/>
        <rFont val="Noto Sans CJK SC"/>
        <family val="2"/>
      </rPr>
      <t xml:space="preserve">조의</t>
    </r>
    <r>
      <rPr>
        <sz val="9"/>
        <color rgb="FF6B7280"/>
        <rFont val="맑은 고딕"/>
        <family val="0"/>
        <charset val="1"/>
      </rPr>
      <t xml:space="preserve">2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4</t>
    </r>
    <r>
      <rPr>
        <sz val="9"/>
        <color rgb="FF6B7280"/>
        <rFont val="Noto Sans CJK SC"/>
        <family val="2"/>
      </rPr>
      <t xml:space="preserve">항</t>
    </r>
    <r>
      <rPr>
        <sz val="9"/>
        <color rgb="FF6B7280"/>
        <rFont val="맑은 고딕"/>
        <family val="0"/>
        <charset val="1"/>
      </rPr>
      <t xml:space="preserve">)</t>
    </r>
  </si>
  <si>
    <t xml:space="preserve">No</t>
  </si>
  <si>
    <t xml:space="preserve">측정 일시</t>
  </si>
  <si>
    <r>
      <rPr>
        <b val="true"/>
        <sz val="9.5"/>
        <color rgb="FF13233A"/>
        <rFont val="Noto Sans CJK SC"/>
        <family val="2"/>
      </rPr>
      <t xml:space="preserve">장소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밀폐공간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</si>
  <si>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시점</t>
  </si>
  <si>
    <r>
      <rPr>
        <b val="true"/>
        <sz val="9.5"/>
        <color rgb="FF13233A"/>
        <rFont val="Noto Sans CJK SC"/>
        <family val="2"/>
      </rPr>
      <t xml:space="preserve">일산화탄소
</t>
    </r>
    <r>
      <rPr>
        <b val="true"/>
        <sz val="9.5"/>
        <color rgb="FF13233A"/>
        <rFont val="맑은 고딕"/>
        <family val="0"/>
        <charset val="1"/>
      </rPr>
      <t xml:space="preserve">ppm</t>
    </r>
  </si>
  <si>
    <r>
      <rPr>
        <b val="true"/>
        <sz val="9.5"/>
        <color rgb="FF13233A"/>
        <rFont val="Noto Sans CJK SC"/>
        <family val="2"/>
      </rPr>
      <t xml:space="preserve">황화수소
</t>
    </r>
    <r>
      <rPr>
        <b val="true"/>
        <sz val="9.5"/>
        <color rgb="FF13233A"/>
        <rFont val="맑은 고딕"/>
        <family val="0"/>
        <charset val="1"/>
      </rPr>
      <t xml:space="preserve">ppm</t>
    </r>
  </si>
  <si>
    <t xml:space="preserve">조치</t>
  </si>
  <si>
    <t xml:space="preserve">측정자 성명</t>
  </si>
  <si>
    <t xml:space="preserve">2026-10-27 09:05</t>
  </si>
  <si>
    <r>
      <rPr>
        <i val="true"/>
        <sz val="9.5"/>
        <color rgb="FF8A94A3"/>
        <rFont val="Noto Sans CJK SC"/>
        <family val="2"/>
      </rPr>
      <t xml:space="preserve">집수정 </t>
    </r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호</t>
    </r>
  </si>
  <si>
    <t xml:space="preserve">작업 전</t>
  </si>
  <si>
    <t xml:space="preserve">○○○</t>
  </si>
  <si>
    <t xml:space="preserve">밀폐공간 출입 인원 점검표</t>
  </si>
  <si>
    <r>
      <rPr>
        <sz val="9"/>
        <color rgb="FF6B7280"/>
        <rFont val="Noto Sans CJK SC"/>
        <family val="2"/>
      </rPr>
      <t xml:space="preserve">입장시킬 때와 퇴장시킬 때마다 인원을 점검 </t>
    </r>
    <r>
      <rPr>
        <sz val="9"/>
        <color rgb="FF6B7280"/>
        <rFont val="맑은 고딕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안전보건규칙 제</t>
    </r>
    <r>
      <rPr>
        <sz val="9"/>
        <color rgb="FF6B7280"/>
        <rFont val="맑은 고딕"/>
        <family val="0"/>
        <charset val="1"/>
      </rPr>
      <t xml:space="preserve">621</t>
    </r>
    <r>
      <rPr>
        <sz val="9"/>
        <color rgb="FF6B7280"/>
        <rFont val="Noto Sans CJK SC"/>
        <family val="2"/>
      </rPr>
      <t xml:space="preserve">조</t>
    </r>
    <r>
      <rPr>
        <sz val="9"/>
        <color rgb="FF6B7280"/>
        <rFont val="맑은 고딕"/>
        <family val="0"/>
        <charset val="1"/>
      </rPr>
      <t xml:space="preserve">)</t>
    </r>
  </si>
  <si>
    <r>
      <rPr>
        <b val="true"/>
        <sz val="9.5"/>
        <color rgb="FF13233A"/>
        <rFont val="Noto Sans CJK SC"/>
        <family val="2"/>
      </rPr>
      <t xml:space="preserve">일자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장소</t>
    </r>
  </si>
  <si>
    <t xml:space="preserve">입장 시각</t>
  </si>
  <si>
    <t xml:space="preserve">퇴장 시각</t>
  </si>
  <si>
    <r>
      <rPr>
        <b val="true"/>
        <sz val="9.5"/>
        <color rgb="FF13233A"/>
        <rFont val="Noto Sans CJK SC"/>
        <family val="2"/>
      </rPr>
      <t xml:space="preserve">체류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자동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</si>
  <si>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산소측정 확인</t>
  </si>
  <si>
    <t xml:space="preserve">감시인 확인</t>
  </si>
  <si>
    <t xml:space="preserve">환경팀</t>
  </si>
  <si>
    <t xml:space="preserve">09:12</t>
  </si>
  <si>
    <t xml:space="preserve">09:58</t>
  </si>
  <si>
    <t xml:space="preserve">적정</t>
  </si>
  <si>
    <t xml:space="preserve">○</t>
  </si>
  <si>
    <t xml:space="preserve">입장 인원</t>
  </si>
  <si>
    <t xml:space="preserve">아직 안에 있는 인원</t>
  </si>
  <si>
    <r>
      <rPr>
        <b val="true"/>
        <sz val="18"/>
        <color rgb="FF13233A"/>
        <rFont val="Noto Sans CJK SC"/>
        <family val="2"/>
      </rPr>
      <t xml:space="preserve">밀폐공간 관리대장 </t>
    </r>
    <r>
      <rPr>
        <b val="true"/>
        <sz val="18"/>
        <color rgb="FF13233A"/>
        <rFont val="맑은 고딕"/>
        <family val="0"/>
        <charset val="1"/>
      </rPr>
      <t xml:space="preserve">· </t>
    </r>
    <r>
      <rPr>
        <b val="true"/>
        <sz val="18"/>
        <color rgb="FF13233A"/>
        <rFont val="Noto Sans CJK SC"/>
        <family val="2"/>
      </rPr>
      <t xml:space="preserve">긴급구조훈련 기록</t>
    </r>
  </si>
  <si>
    <r>
      <rPr>
        <sz val="9"/>
        <color rgb="FF6B7280"/>
        <rFont val="Noto Sans CJK SC"/>
        <family val="2"/>
      </rPr>
      <t xml:space="preserve">밀폐공간 작업 프로그램의 </t>
    </r>
    <r>
      <rPr>
        <sz val="9"/>
        <color rgb="FF6B7280"/>
        <rFont val="맑은 고딕"/>
        <family val="0"/>
        <charset val="1"/>
      </rPr>
      <t xml:space="preserve">'</t>
    </r>
    <r>
      <rPr>
        <sz val="9"/>
        <color rgb="FF6B7280"/>
        <rFont val="Noto Sans CJK SC"/>
        <family val="2"/>
      </rPr>
      <t xml:space="preserve">위치 파악 및 관리 방안</t>
    </r>
    <r>
      <rPr>
        <sz val="9"/>
        <color rgb="FF6B7280"/>
        <rFont val="맑은 고딕"/>
        <family val="0"/>
        <charset val="1"/>
      </rPr>
      <t xml:space="preserve">'·'</t>
    </r>
    <r>
      <rPr>
        <sz val="9"/>
        <color rgb="FF6B7280"/>
        <rFont val="Noto Sans CJK SC"/>
        <family val="2"/>
      </rPr>
      <t xml:space="preserve">유해</t>
    </r>
    <r>
      <rPr>
        <sz val="9"/>
        <color rgb="FF6B7280"/>
        <rFont val="맑은 고딕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위험 요인 파악</t>
    </r>
    <r>
      <rPr>
        <sz val="9"/>
        <color rgb="FF6B7280"/>
        <rFont val="맑은 고딕"/>
        <family val="0"/>
        <charset val="1"/>
      </rPr>
      <t xml:space="preserve">'(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619</t>
    </r>
    <r>
      <rPr>
        <sz val="9"/>
        <color rgb="FF6B7280"/>
        <rFont val="Noto Sans CJK SC"/>
        <family val="2"/>
      </rPr>
      <t xml:space="preserve">조제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항</t>
    </r>
    <r>
      <rPr>
        <sz val="9"/>
        <color rgb="FF6B7280"/>
        <rFont val="맑은 고딕"/>
        <family val="0"/>
        <charset val="1"/>
      </rPr>
      <t xml:space="preserve">) · </t>
    </r>
    <r>
      <rPr>
        <sz val="9"/>
        <color rgb="FF6B7280"/>
        <rFont val="Noto Sans CJK SC"/>
        <family val="2"/>
      </rPr>
      <t xml:space="preserve">긴급구조훈련 </t>
    </r>
    <r>
      <rPr>
        <sz val="9"/>
        <color rgb="FF6B7280"/>
        <rFont val="맑은 고딕"/>
        <family val="0"/>
        <charset val="1"/>
      </rPr>
      <t xml:space="preserve">6</t>
    </r>
    <r>
      <rPr>
        <sz val="9"/>
        <color rgb="FF6B7280"/>
        <rFont val="Noto Sans CJK SC"/>
        <family val="2"/>
      </rPr>
      <t xml:space="preserve">개월에 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회 이상</t>
    </r>
    <r>
      <rPr>
        <sz val="9"/>
        <color rgb="FF6B7280"/>
        <rFont val="맑은 고딕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640</t>
    </r>
    <r>
      <rPr>
        <sz val="9"/>
        <color rgb="FF6B7280"/>
        <rFont val="Noto Sans CJK SC"/>
        <family val="2"/>
      </rPr>
      <t xml:space="preserve">조</t>
    </r>
    <r>
      <rPr>
        <sz val="9"/>
        <color rgb="FF6B7280"/>
        <rFont val="맑은 고딕"/>
        <family val="0"/>
        <charset val="1"/>
      </rPr>
      <t xml:space="preserve">)</t>
    </r>
  </si>
  <si>
    <t xml:space="preserve">밀폐공간명</t>
  </si>
  <si>
    <r>
      <rPr>
        <b val="true"/>
        <sz val="9.5"/>
        <color rgb="FF13233A"/>
        <rFont val="Noto Sans CJK SC"/>
        <family val="2"/>
      </rPr>
      <t xml:space="preserve">별표 </t>
    </r>
    <r>
      <rPr>
        <b val="true"/>
        <sz val="9.5"/>
        <color rgb="FF13233A"/>
        <rFont val="맑은 고딕"/>
        <family val="0"/>
        <charset val="1"/>
      </rPr>
      <t xml:space="preserve">18 </t>
    </r>
    <r>
      <rPr>
        <b val="true"/>
        <sz val="9.5"/>
        <color rgb="FF13233A"/>
        <rFont val="Noto Sans CJK SC"/>
        <family val="2"/>
      </rPr>
      <t xml:space="preserve">해당</t>
    </r>
  </si>
  <si>
    <r>
      <rPr>
        <b val="true"/>
        <sz val="9.5"/>
        <color rgb="FF13233A"/>
        <rFont val="Noto Sans CJK SC"/>
        <family val="2"/>
      </rPr>
      <t xml:space="preserve">예상 유해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위험 요인</t>
    </r>
  </si>
  <si>
    <t xml:space="preserve">출입 통제 방법</t>
  </si>
  <si>
    <t xml:space="preserve">관리 부서</t>
  </si>
  <si>
    <t xml:space="preserve">최근 점검일</t>
  </si>
  <si>
    <t xml:space="preserve">비고</t>
  </si>
  <si>
    <t xml:space="preserve">오폐수처리장 지하</t>
  </si>
  <si>
    <r>
      <rPr>
        <i val="true"/>
        <sz val="9.5"/>
        <color rgb="FF8A94A3"/>
        <rFont val="Noto Sans CJK SC"/>
        <family val="2"/>
      </rPr>
      <t xml:space="preserve">제○호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원문 확인</t>
    </r>
    <r>
      <rPr>
        <i val="true"/>
        <sz val="9.5"/>
        <color rgb="FF8A94A3"/>
        <rFont val="맑은 고딕"/>
        <family val="0"/>
        <charset val="1"/>
      </rPr>
      <t xml:space="preserve">)</t>
    </r>
  </si>
  <si>
    <r>
      <rPr>
        <i val="true"/>
        <sz val="9.5"/>
        <color rgb="FF8A94A3"/>
        <rFont val="Noto Sans CJK SC"/>
        <family val="2"/>
      </rPr>
      <t xml:space="preserve">황화수소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산소결핍</t>
    </r>
  </si>
  <si>
    <r>
      <rPr>
        <i val="true"/>
        <sz val="9.5"/>
        <color rgb="FF8A94A3"/>
        <rFont val="Noto Sans CJK SC"/>
        <family val="2"/>
      </rPr>
      <t xml:space="preserve">맨홀 잠금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출입금지 표지</t>
    </r>
  </si>
  <si>
    <t xml:space="preserve">2026-10-20</t>
  </si>
  <si>
    <r>
      <rPr>
        <b val="true"/>
        <sz val="10"/>
        <color rgb="FFFFFFFF"/>
        <rFont val="Noto Sans CJK SC"/>
        <family val="2"/>
      </rPr>
      <t xml:space="preserve">긴급구조훈련 기록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비상연락체계 운영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구조용 장비 사용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공기호흡기 또는 송기마스크 착용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응급처치 — </t>
    </r>
    <r>
      <rPr>
        <b val="true"/>
        <sz val="10"/>
        <color rgb="FFFFFFFF"/>
        <rFont val="맑은 고딕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개월에 </t>
    </r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회 이상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결과 기록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보존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</si>
  <si>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훈련일</t>
  </si>
  <si>
    <t xml:space="preserve">대상 밀폐공간</t>
  </si>
  <si>
    <t xml:space="preserve">참석 인원</t>
  </si>
  <si>
    <t xml:space="preserve">훈련 내용</t>
  </si>
  <si>
    <t xml:space="preserve">보완 사항</t>
  </si>
  <si>
    <r>
      <rPr>
        <b val="true"/>
        <sz val="9.5"/>
        <color rgb="FF13233A"/>
        <rFont val="Noto Sans CJK SC"/>
        <family val="2"/>
      </rPr>
      <t xml:space="preserve">다음 훈련 기한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자동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</si>
  <si>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확인</t>
  </si>
  <si>
    <t xml:space="preserve">2026-10-15</t>
  </si>
  <si>
    <r>
      <rPr>
        <i val="true"/>
        <sz val="9.5"/>
        <color rgb="FF8A94A3"/>
        <rFont val="맑은 고딕"/>
        <family val="0"/>
        <charset val="1"/>
      </rPr>
      <t xml:space="preserve">8</t>
    </r>
    <r>
      <rPr>
        <i val="true"/>
        <sz val="9.5"/>
        <color rgb="FF8A94A3"/>
        <rFont val="Noto Sans CJK SC"/>
        <family val="2"/>
      </rPr>
      <t xml:space="preserve">명</t>
    </r>
  </si>
  <si>
    <r>
      <rPr>
        <i val="true"/>
        <sz val="9.5"/>
        <color rgb="FF8A94A3"/>
        <rFont val="Noto Sans CJK SC"/>
        <family val="2"/>
      </rPr>
      <t xml:space="preserve">공기호흡기 착용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삼각대로 구조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심폐소생술</t>
    </r>
  </si>
  <si>
    <t xml:space="preserve">구조 로프 길이 부족 — 교체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</si>
</sst>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hh:mm"/>
    <numFmt numFmtId="166" formatCode="yyyy\-mm\-dd\ hh:mm"/>
    <numFmt numFmtId="167" formatCode="[h]:mm"/>
    <numFmt numFmtId="168" formatCode="General"/>
    <numFmt numFmtId="169" formatCode="yyyy\-mm\-dd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3233A"/>
      <name val="Noto Sans CJK SC"/>
      <family val="2"/>
    </font>
    <font>
      <sz val="9"/>
      <color rgb="FF6B7280"/>
      <name val="맑은 고딕"/>
      <family val="0"/>
      <charset val="1"/>
    </font>
    <font>
      <sz val="9"/>
      <color rgb="FF6B7280"/>
      <name val="Noto Sans CJK SC"/>
      <family val="2"/>
    </font>
    <font>
      <b val="true"/>
      <sz val="10"/>
      <color rgb="FF13233A"/>
      <name val="맑은 고딕"/>
      <family val="0"/>
      <charset val="1"/>
    </font>
    <font>
      <b val="true"/>
      <sz val="11"/>
      <color rgb="FF13233A"/>
      <name val="Noto Sans CJK SC"/>
      <family val="2"/>
    </font>
    <font>
      <sz val="10"/>
      <color rgb="FF1F2937"/>
      <name val="Noto Sans CJK SC"/>
      <family val="2"/>
    </font>
    <font>
      <sz val="10"/>
      <color rgb="FF1F2937"/>
      <name val="맑은 고딕"/>
      <family val="0"/>
      <charset val="1"/>
    </font>
    <font>
      <i val="true"/>
      <sz val="9"/>
      <color rgb="FF6B7280"/>
      <name val="Noto Sans CJK SC"/>
      <family val="2"/>
    </font>
    <font>
      <i val="true"/>
      <sz val="9"/>
      <color rgb="FF6B7280"/>
      <name val="맑은 고딕"/>
      <family val="0"/>
      <charset val="1"/>
    </font>
    <font>
      <b val="true"/>
      <sz val="9"/>
      <color rgb="FF1F2937"/>
      <name val="Noto Sans CJK SC"/>
      <family val="2"/>
    </font>
    <font>
      <sz val="9"/>
      <color rgb="FF1F2937"/>
      <name val="맑은 고딕"/>
      <family val="0"/>
      <charset val="1"/>
    </font>
    <font>
      <b val="true"/>
      <sz val="10.5"/>
      <color rgb="FFFFFFFF"/>
      <name val="맑은 고딕"/>
      <family val="0"/>
      <charset val="1"/>
    </font>
    <font>
      <b val="true"/>
      <sz val="10.5"/>
      <color rgb="FFFFFFFF"/>
      <name val="Noto Sans CJK SC"/>
      <family val="2"/>
    </font>
    <font>
      <b val="true"/>
      <sz val="9.5"/>
      <color rgb="FF13233A"/>
      <name val="Noto Sans CJK SC"/>
      <family val="2"/>
    </font>
    <font>
      <i val="true"/>
      <sz val="9.5"/>
      <color rgb="FF8A94A3"/>
      <name val="Noto Sans CJK SC"/>
      <family val="2"/>
    </font>
    <font>
      <i val="true"/>
      <sz val="9.5"/>
      <color rgb="FF8A94A3"/>
      <name val="맑은 고딕"/>
      <family val="0"/>
      <charset val="1"/>
    </font>
    <font>
      <b val="true"/>
      <sz val="9.5"/>
      <color rgb="FF13233A"/>
      <name val="맑은 고딕"/>
      <family val="0"/>
      <charset val="1"/>
    </font>
    <font>
      <b val="true"/>
      <sz val="9.5"/>
      <color rgb="FF1F2937"/>
      <name val="Noto Sans CJK SC"/>
      <family val="2"/>
    </font>
    <font>
      <sz val="9.5"/>
      <color rgb="FF1F2937"/>
      <name val="맑은 고딕"/>
      <family val="0"/>
      <charset val="1"/>
    </font>
    <font>
      <sz val="9.5"/>
      <color rgb="FF1F2937"/>
      <name val="Noto Sans CJK SC"/>
      <family val="2"/>
    </font>
    <font>
      <sz val="8.5"/>
      <color rgb="FF6B7280"/>
      <name val="Noto Sans CJK SC"/>
      <family val="2"/>
    </font>
    <font>
      <sz val="8.5"/>
      <color rgb="FF6B7280"/>
      <name val="맑은 고딕"/>
      <family val="0"/>
      <charset val="1"/>
    </font>
    <font>
      <b val="true"/>
      <sz val="11"/>
      <color rgb="FF079455"/>
      <name val="맑은 고딕"/>
      <family val="0"/>
      <charset val="1"/>
    </font>
    <font>
      <b val="true"/>
      <sz val="9"/>
      <color rgb="FFD92D20"/>
      <name val="Noto Sans CJK SC"/>
      <family val="2"/>
    </font>
    <font>
      <b val="true"/>
      <sz val="9"/>
      <color rgb="FFD92D20"/>
      <name val="맑은 고딕"/>
      <family val="0"/>
      <charset val="1"/>
    </font>
    <font>
      <b val="true"/>
      <sz val="18"/>
      <color rgb="FF13233A"/>
      <name val="맑은 고딕"/>
      <family val="0"/>
      <charset val="1"/>
    </font>
    <font>
      <b val="true"/>
      <sz val="11"/>
      <color rgb="FF1F2937"/>
      <name val="맑은 고딕"/>
      <family val="0"/>
      <charset val="1"/>
    </font>
    <font>
      <b val="true"/>
      <sz val="11"/>
      <color rgb="FFD92D20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CF4"/>
        <bgColor rgb="FFF3F5F9"/>
      </patternFill>
    </fill>
    <fill>
      <patternFill patternType="solid">
        <fgColor rgb="FF13233A"/>
        <bgColor rgb="FF1F2937"/>
      </patternFill>
    </fill>
    <fill>
      <patternFill patternType="solid">
        <fgColor rgb="FFF3F5F9"/>
        <bgColor rgb="FFE7EC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C97A8"/>
      </left>
      <right style="thin">
        <color rgb="FF8C97A8"/>
      </right>
      <top style="thin">
        <color rgb="FF8C97A8"/>
      </top>
      <bottom style="thin">
        <color rgb="FF8C97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맑은 고딕"/>
        <charset val="1"/>
        <family val="0"/>
        <b val="1"/>
        <color rgb="FFFFFFFF"/>
      </font>
      <fill>
        <patternFill>
          <bgColor rgb="FFD92D20"/>
        </patternFill>
      </fill>
    </dxf>
    <dxf>
      <font>
        <name val="맑은 고딕"/>
        <charset val="1"/>
        <family val="0"/>
        <b val="1"/>
        <color rgb="FF1F2937"/>
      </font>
      <fill>
        <patternFill>
          <bgColor rgb="FFF79009"/>
        </patternFill>
      </fill>
    </dxf>
    <dxf>
      <font>
        <name val="맑은 고딕"/>
        <charset val="1"/>
        <family val="0"/>
        <b val="1"/>
        <color rgb="FF05603A"/>
      </font>
      <fill>
        <patternFill>
          <bgColor rgb="FFD1FADF"/>
        </patternFill>
      </fill>
    </dxf>
    <dxf>
      <font>
        <name val="맑은 고딕"/>
        <charset val="1"/>
        <family val="0"/>
        <b val="1"/>
      </font>
      <fill>
        <patternFill>
          <bgColor rgb="FFFFF4CC"/>
        </patternFill>
      </fill>
    </dxf>
    <dxf>
      <font>
        <name val="맑은 고딕"/>
        <charset val="1"/>
        <family val="0"/>
        <b val="1"/>
        <color rgb="FFD92D20"/>
      </font>
      <fill>
        <patternFill>
          <bgColor rgb="FFFEE4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5603A"/>
      <rgbColor rgb="FF000080"/>
      <rgbColor rgb="FF808000"/>
      <rgbColor rgb="FF800080"/>
      <rgbColor rgb="FF079455"/>
      <rgbColor rgb="FFC0C0C0"/>
      <rgbColor rgb="FF8C97A8"/>
      <rgbColor rgb="FF98A2B3"/>
      <rgbColor rgb="FF993366"/>
      <rgbColor rgb="FFFFF4CC"/>
      <rgbColor rgb="FFE7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9"/>
      <rgbColor rgb="FFD1FADF"/>
      <rgbColor rgb="FFFFFF99"/>
      <rgbColor rgb="FF99CCFF"/>
      <rgbColor rgb="FFFF99CC"/>
      <rgbColor rgb="FFCC99FF"/>
      <rgbColor rgb="FFFEE4E2"/>
      <rgbColor rgb="FF2E90FA"/>
      <rgbColor rgb="FF33CCCC"/>
      <rgbColor rgb="FF99CC00"/>
      <rgbColor rgb="FFFFCC00"/>
      <rgbColor rgb="FFF79009"/>
      <rgbColor rgb="FFFF6600"/>
      <rgbColor rgb="FF6B7280"/>
      <rgbColor rgb="FF8A94A3"/>
      <rgbColor rgb="FF13233A"/>
      <rgbColor rgb="FF339966"/>
      <rgbColor rgb="FF003300"/>
      <rgbColor rgb="FF333300"/>
      <rgbColor rgb="FFD92D2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A2B3"/>
    <pageSetUpPr fitToPage="tru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33.7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B5" s="5" t="s">
        <v>4</v>
      </c>
    </row>
    <row r="6" customFormat="false" ht="45.75" hidden="false" customHeight="true" outlineLevel="0" collapsed="false">
      <c r="B6" s="5" t="s">
        <v>5</v>
      </c>
    </row>
    <row r="7" customFormat="false" ht="31.5" hidden="false" customHeight="true" outlineLevel="0" collapsed="false">
      <c r="B7" s="5" t="s">
        <v>6</v>
      </c>
    </row>
    <row r="8" customFormat="false" ht="31.5" hidden="false" customHeight="true" outlineLevel="0" collapsed="false">
      <c r="B8" s="5" t="s">
        <v>7</v>
      </c>
    </row>
    <row r="10" customFormat="false" ht="15" hidden="false" customHeight="false" outlineLevel="0" collapsed="false">
      <c r="A10" s="3" t="s">
        <v>2</v>
      </c>
      <c r="B10" s="4" t="s">
        <v>8</v>
      </c>
    </row>
    <row r="11" customFormat="false" ht="31.5" hidden="false" customHeight="true" outlineLevel="0" collapsed="false">
      <c r="B11" s="5" t="s">
        <v>9</v>
      </c>
    </row>
    <row r="12" customFormat="false" ht="18" hidden="false" customHeight="true" outlineLevel="0" collapsed="false">
      <c r="B12" s="5" t="s">
        <v>10</v>
      </c>
    </row>
    <row r="13" customFormat="false" ht="31.5" hidden="false" customHeight="true" outlineLevel="0" collapsed="false">
      <c r="B13" s="5" t="s">
        <v>11</v>
      </c>
    </row>
    <row r="15" customFormat="false" ht="30" hidden="false" customHeight="true" outlineLevel="0" collapsed="false">
      <c r="B15" s="6" t="s">
        <v>12</v>
      </c>
    </row>
  </sheetData>
  <mergeCells count="2">
    <mergeCell ref="A1:B1"/>
    <mergeCell ref="A2:B2"/>
  </mergeCells>
  <printOptions headings="false" gridLines="false" gridLinesSet="true" horizontalCentered="true" verticalCentered="false"/>
  <pageMargins left="0.4" right="0.4" top="0.5" bottom="0.5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3A"/>
    <pageSetUpPr fitToPage="true"/>
  </sheetPr>
  <dimension ref="A1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6" min="3" style="0" width="11"/>
    <col collapsed="false" customWidth="true" hidden="false" outlineLevel="0" max="8" min="7" style="0" width="13"/>
  </cols>
  <sheetData>
    <row r="1" customFormat="false" ht="18" hidden="false" customHeight="true" outlineLevel="0" collapsed="false">
      <c r="A1" s="1" t="s">
        <v>13</v>
      </c>
      <c r="B1" s="1"/>
      <c r="C1" s="1"/>
      <c r="D1" s="1"/>
      <c r="E1" s="7" t="s">
        <v>14</v>
      </c>
      <c r="F1" s="7" t="s">
        <v>15</v>
      </c>
      <c r="G1" s="7" t="s">
        <v>16</v>
      </c>
      <c r="H1" s="7" t="s">
        <v>17</v>
      </c>
    </row>
    <row r="2" customFormat="false" ht="30" hidden="false" customHeight="true" outlineLevel="0" collapsed="false">
      <c r="A2" s="8" t="s">
        <v>18</v>
      </c>
      <c r="B2" s="8"/>
      <c r="C2" s="8"/>
      <c r="D2" s="8"/>
      <c r="E2" s="7"/>
      <c r="F2" s="9"/>
      <c r="G2" s="9"/>
      <c r="H2" s="9"/>
    </row>
    <row r="4" customFormat="false" ht="16.4" hidden="false" customHeight="true" outlineLevel="0" collapsed="false">
      <c r="A4" s="10" t="s">
        <v>19</v>
      </c>
      <c r="B4" s="10"/>
      <c r="C4" s="10"/>
      <c r="D4" s="10"/>
      <c r="E4" s="10"/>
      <c r="F4" s="10"/>
      <c r="G4" s="10"/>
      <c r="H4" s="10"/>
    </row>
    <row r="5" customFormat="false" ht="24" hidden="false" customHeight="true" outlineLevel="0" collapsed="false">
      <c r="A5" s="11" t="s">
        <v>20</v>
      </c>
      <c r="B5" s="12" t="s">
        <v>21</v>
      </c>
      <c r="C5" s="12"/>
      <c r="D5" s="12"/>
      <c r="E5" s="11" t="s">
        <v>22</v>
      </c>
      <c r="F5" s="12" t="s">
        <v>23</v>
      </c>
      <c r="G5" s="12"/>
      <c r="H5" s="12"/>
    </row>
    <row r="6" customFormat="false" ht="24" hidden="false" customHeight="true" outlineLevel="0" collapsed="false">
      <c r="A6" s="11" t="s">
        <v>24</v>
      </c>
      <c r="B6" s="12" t="s">
        <v>25</v>
      </c>
      <c r="C6" s="12"/>
      <c r="D6" s="12"/>
      <c r="E6" s="11" t="s">
        <v>26</v>
      </c>
      <c r="F6" s="12" t="s">
        <v>27</v>
      </c>
      <c r="G6" s="12"/>
      <c r="H6" s="12"/>
    </row>
    <row r="7" customFormat="false" ht="30" hidden="false" customHeight="true" outlineLevel="0" collapsed="false">
      <c r="A7" s="11" t="s">
        <v>28</v>
      </c>
      <c r="B7" s="13" t="s">
        <v>29</v>
      </c>
      <c r="C7" s="13"/>
      <c r="D7" s="13"/>
      <c r="E7" s="13"/>
      <c r="F7" s="13"/>
      <c r="G7" s="13"/>
      <c r="H7" s="13"/>
    </row>
    <row r="9" customFormat="false" ht="16.4" hidden="false" customHeight="true" outlineLevel="0" collapsed="false">
      <c r="A9" s="10" t="s">
        <v>30</v>
      </c>
      <c r="B9" s="10"/>
      <c r="C9" s="10"/>
      <c r="D9" s="10"/>
      <c r="E9" s="10"/>
      <c r="F9" s="10"/>
      <c r="G9" s="10"/>
      <c r="H9" s="10"/>
    </row>
    <row r="10" customFormat="false" ht="21.75" hidden="false" customHeight="true" outlineLevel="0" collapsed="false">
      <c r="A10" s="11" t="s">
        <v>31</v>
      </c>
      <c r="B10" s="11" t="s">
        <v>32</v>
      </c>
      <c r="C10" s="11" t="s">
        <v>33</v>
      </c>
      <c r="D10" s="11"/>
      <c r="E10" s="11" t="s">
        <v>34</v>
      </c>
      <c r="F10" s="11"/>
      <c r="G10" s="11" t="s">
        <v>35</v>
      </c>
      <c r="H10" s="11"/>
    </row>
    <row r="11" customFormat="false" ht="21.75" hidden="false" customHeight="true" outlineLevel="0" collapsed="false">
      <c r="A11" s="14" t="s">
        <v>15</v>
      </c>
      <c r="B11" s="15"/>
      <c r="C11" s="15"/>
      <c r="D11" s="15"/>
      <c r="E11" s="15"/>
      <c r="F11" s="15"/>
      <c r="G11" s="15"/>
      <c r="H11" s="15"/>
    </row>
    <row r="12" customFormat="false" ht="21.75" hidden="false" customHeight="true" outlineLevel="0" collapsed="false">
      <c r="A12" s="14" t="s">
        <v>36</v>
      </c>
      <c r="B12" s="15"/>
      <c r="C12" s="15"/>
      <c r="D12" s="15"/>
      <c r="E12" s="15"/>
      <c r="F12" s="15"/>
      <c r="G12" s="15"/>
      <c r="H12" s="15"/>
    </row>
    <row r="13" customFormat="false" ht="21.75" hidden="false" customHeight="true" outlineLevel="0" collapsed="false">
      <c r="A13" s="14" t="s">
        <v>37</v>
      </c>
      <c r="B13" s="15"/>
      <c r="C13" s="15"/>
      <c r="D13" s="15"/>
      <c r="E13" s="15"/>
      <c r="F13" s="15"/>
      <c r="G13" s="15"/>
      <c r="H13" s="15"/>
    </row>
    <row r="14" customFormat="false" ht="21.75" hidden="false" customHeight="true" outlineLevel="0" collapsed="false">
      <c r="A14" s="14" t="s">
        <v>38</v>
      </c>
      <c r="B14" s="15"/>
      <c r="C14" s="15"/>
      <c r="D14" s="15"/>
      <c r="E14" s="15"/>
      <c r="F14" s="15"/>
      <c r="G14" s="15"/>
      <c r="H14" s="15"/>
    </row>
    <row r="15" customFormat="false" ht="21.75" hidden="false" customHeight="true" outlineLevel="0" collapsed="false">
      <c r="A15" s="14" t="s">
        <v>38</v>
      </c>
      <c r="B15" s="15"/>
      <c r="C15" s="15"/>
      <c r="D15" s="15"/>
      <c r="E15" s="15"/>
      <c r="F15" s="15"/>
      <c r="G15" s="15"/>
      <c r="H15" s="15"/>
    </row>
    <row r="16" customFormat="false" ht="21.75" hidden="false" customHeight="true" outlineLevel="0" collapsed="false">
      <c r="A16" s="14" t="s">
        <v>38</v>
      </c>
      <c r="B16" s="15"/>
      <c r="C16" s="15"/>
      <c r="D16" s="15"/>
      <c r="E16" s="15"/>
      <c r="F16" s="15"/>
      <c r="G16" s="15"/>
      <c r="H16" s="15"/>
    </row>
    <row r="18" customFormat="false" ht="16.4" hidden="false" customHeight="true" outlineLevel="0" collapsed="false">
      <c r="A18" s="10" t="s">
        <v>39</v>
      </c>
      <c r="B18" s="10"/>
      <c r="C18" s="10"/>
      <c r="D18" s="10"/>
      <c r="E18" s="10"/>
      <c r="F18" s="10"/>
      <c r="G18" s="10"/>
      <c r="H18" s="10"/>
    </row>
    <row r="19" customFormat="false" ht="30" hidden="false" customHeight="true" outlineLevel="0" collapsed="false">
      <c r="A19" s="11" t="s">
        <v>40</v>
      </c>
      <c r="B19" s="11" t="s">
        <v>41</v>
      </c>
      <c r="C19" s="11" t="s">
        <v>42</v>
      </c>
      <c r="D19" s="11" t="s">
        <v>43</v>
      </c>
      <c r="E19" s="11" t="s">
        <v>44</v>
      </c>
      <c r="F19" s="11" t="s">
        <v>45</v>
      </c>
      <c r="G19" s="11" t="s">
        <v>46</v>
      </c>
      <c r="H19" s="11" t="s">
        <v>47</v>
      </c>
    </row>
    <row r="20" customFormat="false" ht="21.75" hidden="false" customHeight="true" outlineLevel="0" collapsed="false">
      <c r="A20" s="16" t="s">
        <v>48</v>
      </c>
      <c r="B20" s="17" t="s">
        <v>49</v>
      </c>
      <c r="C20" s="18" t="n">
        <v>20.8</v>
      </c>
      <c r="D20" s="18" t="n">
        <v>0.1</v>
      </c>
      <c r="E20" s="18" t="n">
        <v>2</v>
      </c>
      <c r="F20" s="18" t="n">
        <v>0</v>
      </c>
      <c r="G20" s="19" t="str">
        <f aca="false">IF(COUNT(C20,D20,E20,F20)=0,"",IF(COUNT(C20,D20,E20,F20)&lt;4,"미측정 항목",IF(AND(C20&gt;=18,C20&lt;23.5,D20&lt;1.5,E20&lt;30,F20&lt;10),"적정","부적정 — 작업 금지")))</f>
        <v>적정</v>
      </c>
      <c r="H20" s="17" t="s">
        <v>50</v>
      </c>
    </row>
    <row r="21" customFormat="false" ht="21.75" hidden="false" customHeight="true" outlineLevel="0" collapsed="false">
      <c r="A21" s="20"/>
      <c r="B21" s="15"/>
      <c r="C21" s="15"/>
      <c r="D21" s="15"/>
      <c r="E21" s="15"/>
      <c r="F21" s="15"/>
      <c r="G21" s="19" t="str">
        <f aca="false">IF(COUNT(C21,D21,E21,F21)=0,"",IF(COUNT(C21,D21,E21,F21)&lt;4,"미측정 항목",IF(AND(C21&gt;=18,C21&lt;23.5,D21&lt;1.5,E21&lt;30,F21&lt;10),"적정","부적정 — 작업 금지")))</f>
        <v/>
      </c>
      <c r="H21" s="15"/>
    </row>
    <row r="22" customFormat="false" ht="21.75" hidden="false" customHeight="true" outlineLevel="0" collapsed="false">
      <c r="A22" s="20"/>
      <c r="B22" s="15"/>
      <c r="C22" s="15"/>
      <c r="D22" s="15"/>
      <c r="E22" s="15"/>
      <c r="F22" s="15"/>
      <c r="G22" s="19" t="str">
        <f aca="false">IF(COUNT(C22,D22,E22,F22)=0,"",IF(COUNT(C22,D22,E22,F22)&lt;4,"미측정 항목",IF(AND(C22&gt;=18,C22&lt;23.5,D22&lt;1.5,E22&lt;30,F22&lt;10),"적정","부적정 — 작업 금지")))</f>
        <v/>
      </c>
      <c r="H22" s="15"/>
    </row>
    <row r="23" customFormat="false" ht="21.75" hidden="false" customHeight="true" outlineLevel="0" collapsed="false">
      <c r="A23" s="20"/>
      <c r="B23" s="15"/>
      <c r="C23" s="15"/>
      <c r="D23" s="15"/>
      <c r="E23" s="15"/>
      <c r="F23" s="15"/>
      <c r="G23" s="19" t="str">
        <f aca="false">IF(COUNT(C23,D23,E23,F23)=0,"",IF(COUNT(C23,D23,E23,F23)&lt;4,"미측정 항목",IF(AND(C23&gt;=18,C23&lt;23.5,D23&lt;1.5,E23&lt;30,F23&lt;10),"적정","부적정 — 작업 금지")))</f>
        <v/>
      </c>
      <c r="H23" s="15"/>
    </row>
    <row r="24" customFormat="false" ht="18" hidden="false" customHeight="true" outlineLevel="0" collapsed="false">
      <c r="A24" s="21" t="s">
        <v>51</v>
      </c>
      <c r="B24" s="21"/>
      <c r="C24" s="21"/>
      <c r="D24" s="21"/>
      <c r="E24" s="21"/>
      <c r="F24" s="21"/>
      <c r="G24" s="21"/>
      <c r="H24" s="21"/>
    </row>
    <row r="26" customFormat="false" ht="16.4" hidden="false" customHeight="true" outlineLevel="0" collapsed="false">
      <c r="A26" s="10" t="s">
        <v>52</v>
      </c>
      <c r="B26" s="10"/>
      <c r="C26" s="10"/>
      <c r="D26" s="10"/>
      <c r="E26" s="10"/>
      <c r="F26" s="10"/>
      <c r="G26" s="10"/>
      <c r="H26" s="10"/>
    </row>
    <row r="27" customFormat="false" ht="21.75" hidden="false" customHeight="true" outlineLevel="0" collapsed="false">
      <c r="A27" s="11" t="s">
        <v>53</v>
      </c>
      <c r="B27" s="11"/>
      <c r="C27" s="11"/>
      <c r="D27" s="11" t="s">
        <v>54</v>
      </c>
      <c r="E27" s="11" t="s">
        <v>47</v>
      </c>
      <c r="F27" s="11"/>
      <c r="G27" s="11"/>
      <c r="H27" s="11"/>
    </row>
    <row r="28" customFormat="false" ht="24" hidden="false" customHeight="true" outlineLevel="0" collapsed="false">
      <c r="A28" s="22" t="s">
        <v>55</v>
      </c>
      <c r="B28" s="22"/>
      <c r="C28" s="22"/>
      <c r="D28" s="17" t="s">
        <v>56</v>
      </c>
      <c r="E28" s="12" t="s">
        <v>57</v>
      </c>
      <c r="F28" s="12"/>
      <c r="G28" s="12"/>
      <c r="H28" s="12"/>
    </row>
    <row r="29" customFormat="false" ht="24" hidden="false" customHeight="true" outlineLevel="0" collapsed="false">
      <c r="A29" s="22" t="s">
        <v>58</v>
      </c>
      <c r="B29" s="22"/>
      <c r="C29" s="22"/>
      <c r="D29" s="23"/>
      <c r="E29" s="24"/>
      <c r="F29" s="24"/>
      <c r="G29" s="24"/>
      <c r="H29" s="24"/>
    </row>
    <row r="30" customFormat="false" ht="24" hidden="false" customHeight="true" outlineLevel="0" collapsed="false">
      <c r="A30" s="22" t="s">
        <v>59</v>
      </c>
      <c r="B30" s="22"/>
      <c r="C30" s="22"/>
      <c r="D30" s="17" t="s">
        <v>56</v>
      </c>
      <c r="E30" s="12" t="s">
        <v>60</v>
      </c>
      <c r="F30" s="12"/>
      <c r="G30" s="12"/>
      <c r="H30" s="12"/>
    </row>
    <row r="31" customFormat="false" ht="24" hidden="false" customHeight="true" outlineLevel="0" collapsed="false">
      <c r="A31" s="22" t="s">
        <v>61</v>
      </c>
      <c r="B31" s="22"/>
      <c r="C31" s="22"/>
      <c r="D31" s="23"/>
      <c r="E31" s="24"/>
      <c r="F31" s="24"/>
      <c r="G31" s="24"/>
      <c r="H31" s="24"/>
    </row>
    <row r="33" customFormat="false" ht="16.4" hidden="false" customHeight="true" outlineLevel="0" collapsed="false">
      <c r="A33" s="10" t="s">
        <v>62</v>
      </c>
      <c r="B33" s="10"/>
      <c r="C33" s="10"/>
      <c r="D33" s="10"/>
      <c r="E33" s="10"/>
      <c r="F33" s="10"/>
      <c r="G33" s="10"/>
      <c r="H33" s="10"/>
    </row>
    <row r="34" customFormat="false" ht="21.75" hidden="false" customHeight="true" outlineLevel="0" collapsed="false">
      <c r="A34" s="25"/>
      <c r="B34" s="26" t="s">
        <v>63</v>
      </c>
      <c r="C34" s="26"/>
      <c r="D34" s="25"/>
      <c r="E34" s="26" t="s">
        <v>64</v>
      </c>
      <c r="F34" s="26"/>
      <c r="G34" s="25"/>
      <c r="H34" s="26" t="s">
        <v>65</v>
      </c>
    </row>
    <row r="35" customFormat="false" ht="21.75" hidden="false" customHeight="true" outlineLevel="0" collapsed="false">
      <c r="A35" s="25"/>
      <c r="B35" s="26" t="s">
        <v>66</v>
      </c>
      <c r="C35" s="26"/>
      <c r="D35" s="25"/>
      <c r="E35" s="26" t="s">
        <v>67</v>
      </c>
      <c r="F35" s="26"/>
      <c r="G35" s="25"/>
      <c r="H35" s="26" t="s">
        <v>68</v>
      </c>
    </row>
    <row r="36" customFormat="false" ht="24" hidden="false" customHeight="true" outlineLevel="0" collapsed="false">
      <c r="A36" s="11" t="s">
        <v>69</v>
      </c>
      <c r="B36" s="12" t="s">
        <v>70</v>
      </c>
      <c r="C36" s="12"/>
      <c r="D36" s="12"/>
      <c r="E36" s="12"/>
      <c r="F36" s="12"/>
      <c r="G36" s="12"/>
      <c r="H36" s="12"/>
    </row>
    <row r="38" customFormat="false" ht="16.4" hidden="false" customHeight="true" outlineLevel="0" collapsed="false">
      <c r="A38" s="10" t="s">
        <v>71</v>
      </c>
      <c r="B38" s="10"/>
      <c r="C38" s="10"/>
      <c r="D38" s="10"/>
      <c r="E38" s="10"/>
      <c r="F38" s="10"/>
      <c r="G38" s="10"/>
      <c r="H38" s="10"/>
    </row>
    <row r="39" customFormat="false" ht="33.75" hidden="false" customHeight="true" outlineLevel="0" collapsed="false">
      <c r="A39" s="11" t="s">
        <v>72</v>
      </c>
      <c r="B39" s="12" t="s">
        <v>73</v>
      </c>
      <c r="C39" s="12"/>
      <c r="D39" s="12"/>
      <c r="E39" s="11" t="s">
        <v>74</v>
      </c>
      <c r="F39" s="12" t="s">
        <v>75</v>
      </c>
      <c r="G39" s="12"/>
      <c r="H39" s="12"/>
    </row>
    <row r="40" customFormat="false" ht="19.5" hidden="false" customHeight="true" outlineLevel="0" collapsed="false">
      <c r="A40" s="27" t="s">
        <v>76</v>
      </c>
      <c r="B40" s="27"/>
      <c r="C40" s="27"/>
      <c r="D40" s="27"/>
      <c r="E40" s="27"/>
      <c r="F40" s="27"/>
      <c r="G40" s="27"/>
      <c r="H40" s="27"/>
    </row>
    <row r="42" customFormat="false" ht="15.75" hidden="false" customHeight="true" outlineLevel="0" collapsed="false">
      <c r="A42" s="28" t="s">
        <v>77</v>
      </c>
      <c r="B42" s="28"/>
      <c r="C42" s="28"/>
      <c r="D42" s="28"/>
      <c r="E42" s="28"/>
      <c r="F42" s="28"/>
      <c r="G42" s="28"/>
      <c r="H42" s="28"/>
    </row>
  </sheetData>
  <mergeCells count="55">
    <mergeCell ref="A1:D1"/>
    <mergeCell ref="E1:E2"/>
    <mergeCell ref="A2:D2"/>
    <mergeCell ref="A4:H4"/>
    <mergeCell ref="B5:D5"/>
    <mergeCell ref="F5:H5"/>
    <mergeCell ref="B6:D6"/>
    <mergeCell ref="F6:H6"/>
    <mergeCell ref="B7:H7"/>
    <mergeCell ref="A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A18:H18"/>
    <mergeCell ref="A24:H24"/>
    <mergeCell ref="A26:H26"/>
    <mergeCell ref="A27:C27"/>
    <mergeCell ref="E27:H27"/>
    <mergeCell ref="A28:C28"/>
    <mergeCell ref="E28:H28"/>
    <mergeCell ref="A29:C29"/>
    <mergeCell ref="E29:H29"/>
    <mergeCell ref="A30:C30"/>
    <mergeCell ref="E30:H30"/>
    <mergeCell ref="A31:C31"/>
    <mergeCell ref="E31:H31"/>
    <mergeCell ref="A33:H33"/>
    <mergeCell ref="B34:C34"/>
    <mergeCell ref="E34:F34"/>
    <mergeCell ref="B35:C35"/>
    <mergeCell ref="E35:F35"/>
    <mergeCell ref="B36:H36"/>
    <mergeCell ref="A38:H38"/>
    <mergeCell ref="B39:D39"/>
    <mergeCell ref="F39:H39"/>
    <mergeCell ref="A40:H40"/>
    <mergeCell ref="A42:H42"/>
  </mergeCells>
  <conditionalFormatting sqref="G20:G23">
    <cfRule type="expression" priority="2" aboveAverage="0" equalAverage="0" bottom="0" percent="0" rank="0" text="" dxfId="0">
      <formula>ISNUMBER(SEARCH("부적정",G20))</formula>
    </cfRule>
    <cfRule type="expression" priority="3" aboveAverage="0" equalAverage="0" bottom="0" percent="0" rank="0" text="" dxfId="1">
      <formula>ISNUMBER(SEARCH("미측정",G20))</formula>
    </cfRule>
    <cfRule type="expression" priority="4" aboveAverage="0" equalAverage="0" bottom="0" percent="0" rank="0" text="" dxfId="2">
      <formula>G20="적정"</formula>
    </cfRule>
  </conditionalFormatting>
  <conditionalFormatting sqref="D28:D31">
    <cfRule type="expression" priority="5" aboveAverage="0" equalAverage="0" bottom="0" percent="0" rank="0" text="" dxfId="1">
      <formula>ISNUMBER(SEARCH("있음",D28))</formula>
    </cfRule>
  </conditionalFormatting>
  <dataValidations count="4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G11:G16" type="list">
      <formula1>"확인,미확인"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B20:B23" type="list">
      <formula1>"상,중,하,상·중·하"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D28:D31" type="list">
      <formula1>"있음,없음,검토 중"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A34:A35 D34:D35 G34:G35" type="list">
      <formula1>"✔"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79455"/>
    <pageSetUpPr fitToPage="tru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9" min="7" style="0" width="10"/>
    <col collapsed="false" customWidth="true" hidden="false" outlineLevel="0" max="10" min="10" style="0" width="15"/>
    <col collapsed="false" customWidth="true" hidden="false" outlineLevel="0" max="11" min="11" style="0" width="22"/>
    <col collapsed="false" customWidth="true" hidden="false" outlineLevel="0" max="12" min="12" style="0" width="11"/>
  </cols>
  <sheetData>
    <row r="1" customFormat="false" ht="33.7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8" t="s">
        <v>79</v>
      </c>
      <c r="B2" s="8"/>
      <c r="C2" s="8"/>
      <c r="D2" s="8"/>
      <c r="E2" s="8"/>
      <c r="F2" s="8"/>
      <c r="G2" s="8"/>
      <c r="H2" s="8"/>
      <c r="I2" s="8"/>
    </row>
    <row r="3" customFormat="false" ht="15.75" hidden="false" customHeight="true" outlineLevel="0" collapsed="false">
      <c r="A3" s="28" t="s">
        <v>51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customFormat="false" ht="30" hidden="false" customHeight="true" outlineLevel="0" collapsed="false">
      <c r="A4" s="29" t="s">
        <v>80</v>
      </c>
      <c r="B4" s="11" t="s">
        <v>81</v>
      </c>
      <c r="C4" s="11" t="s">
        <v>82</v>
      </c>
      <c r="D4" s="11" t="s">
        <v>83</v>
      </c>
      <c r="E4" s="11" t="s">
        <v>41</v>
      </c>
      <c r="F4" s="11" t="s">
        <v>42</v>
      </c>
      <c r="G4" s="11" t="s">
        <v>43</v>
      </c>
      <c r="H4" s="11" t="s">
        <v>84</v>
      </c>
      <c r="I4" s="11" t="s">
        <v>85</v>
      </c>
      <c r="J4" s="11" t="s">
        <v>46</v>
      </c>
      <c r="K4" s="11" t="s">
        <v>86</v>
      </c>
      <c r="L4" s="11" t="s">
        <v>87</v>
      </c>
    </row>
    <row r="5" customFormat="false" ht="21.75" hidden="false" customHeight="true" outlineLevel="0" collapsed="false">
      <c r="A5" s="15" t="n">
        <v>1</v>
      </c>
      <c r="B5" s="30" t="s">
        <v>88</v>
      </c>
      <c r="C5" s="17" t="s">
        <v>89</v>
      </c>
      <c r="D5" s="17" t="s">
        <v>90</v>
      </c>
      <c r="E5" s="17" t="s">
        <v>49</v>
      </c>
      <c r="F5" s="17" t="n">
        <v>20.8</v>
      </c>
      <c r="G5" s="17" t="n">
        <v>0.1</v>
      </c>
      <c r="H5" s="17" t="n">
        <v>2</v>
      </c>
      <c r="I5" s="17" t="n">
        <v>0</v>
      </c>
      <c r="J5" s="19" t="str">
        <f aca="false">IF(COUNT(F5,G5,H5,I5)=0,"",IF(COUNT(F5,G5,H5,I5)&lt;4,"미측정 항목",IF(AND(F5&gt;=18,F5&lt;23.5,G5&lt;1.5,H5&lt;30,I5&lt;10),"적정","부적정 — 작업 금지")))</f>
        <v>적정</v>
      </c>
      <c r="K5" s="12" t="s">
        <v>50</v>
      </c>
      <c r="L5" s="18" t="s">
        <v>91</v>
      </c>
    </row>
    <row r="6" customFormat="false" ht="21.75" hidden="false" customHeight="true" outlineLevel="0" collapsed="false">
      <c r="A6" s="15" t="n">
        <v>2</v>
      </c>
      <c r="B6" s="31"/>
      <c r="C6" s="15"/>
      <c r="D6" s="15"/>
      <c r="E6" s="15"/>
      <c r="F6" s="15"/>
      <c r="G6" s="15"/>
      <c r="H6" s="15"/>
      <c r="I6" s="15"/>
      <c r="J6" s="19" t="str">
        <f aca="false">IF(COUNT(F6,G6,H6,I6)=0,"",IF(COUNT(F6,G6,H6,I6)&lt;4,"미측정 항목",IF(AND(F6&gt;=18,F6&lt;23.5,G6&lt;1.5,H6&lt;30,I6&lt;10),"적정","부적정 — 작업 금지")))</f>
        <v/>
      </c>
      <c r="K6" s="26"/>
      <c r="L6" s="15"/>
    </row>
    <row r="7" customFormat="false" ht="21.75" hidden="false" customHeight="true" outlineLevel="0" collapsed="false">
      <c r="A7" s="15" t="n">
        <v>3</v>
      </c>
      <c r="B7" s="31"/>
      <c r="C7" s="15"/>
      <c r="D7" s="15"/>
      <c r="E7" s="15"/>
      <c r="F7" s="15"/>
      <c r="G7" s="15"/>
      <c r="H7" s="15"/>
      <c r="I7" s="15"/>
      <c r="J7" s="19" t="str">
        <f aca="false">IF(COUNT(F7,G7,H7,I7)=0,"",IF(COUNT(F7,G7,H7,I7)&lt;4,"미측정 항목",IF(AND(F7&gt;=18,F7&lt;23.5,G7&lt;1.5,H7&lt;30,I7&lt;10),"적정","부적정 — 작업 금지")))</f>
        <v/>
      </c>
      <c r="K7" s="26"/>
      <c r="L7" s="15"/>
    </row>
    <row r="8" customFormat="false" ht="21.75" hidden="false" customHeight="true" outlineLevel="0" collapsed="false">
      <c r="A8" s="15" t="n">
        <v>4</v>
      </c>
      <c r="B8" s="31"/>
      <c r="C8" s="15"/>
      <c r="D8" s="15"/>
      <c r="E8" s="15"/>
      <c r="F8" s="15"/>
      <c r="G8" s="15"/>
      <c r="H8" s="15"/>
      <c r="I8" s="15"/>
      <c r="J8" s="19" t="str">
        <f aca="false">IF(COUNT(F8,G8,H8,I8)=0,"",IF(COUNT(F8,G8,H8,I8)&lt;4,"미측정 항목",IF(AND(F8&gt;=18,F8&lt;23.5,G8&lt;1.5,H8&lt;30,I8&lt;10),"적정","부적정 — 작업 금지")))</f>
        <v/>
      </c>
      <c r="K8" s="26"/>
      <c r="L8" s="15"/>
    </row>
    <row r="9" customFormat="false" ht="21.75" hidden="false" customHeight="true" outlineLevel="0" collapsed="false">
      <c r="A9" s="15" t="n">
        <v>5</v>
      </c>
      <c r="B9" s="31"/>
      <c r="C9" s="15"/>
      <c r="D9" s="15"/>
      <c r="E9" s="15"/>
      <c r="F9" s="15"/>
      <c r="G9" s="15"/>
      <c r="H9" s="15"/>
      <c r="I9" s="15"/>
      <c r="J9" s="19" t="str">
        <f aca="false">IF(COUNT(F9,G9,H9,I9)=0,"",IF(COUNT(F9,G9,H9,I9)&lt;4,"미측정 항목",IF(AND(F9&gt;=18,F9&lt;23.5,G9&lt;1.5,H9&lt;30,I9&lt;10),"적정","부적정 — 작업 금지")))</f>
        <v/>
      </c>
      <c r="K9" s="26"/>
      <c r="L9" s="15"/>
    </row>
    <row r="10" customFormat="false" ht="21.75" hidden="false" customHeight="true" outlineLevel="0" collapsed="false">
      <c r="A10" s="15" t="n">
        <v>6</v>
      </c>
      <c r="B10" s="31"/>
      <c r="C10" s="15"/>
      <c r="D10" s="15"/>
      <c r="E10" s="15"/>
      <c r="F10" s="15"/>
      <c r="G10" s="15"/>
      <c r="H10" s="15"/>
      <c r="I10" s="15"/>
      <c r="J10" s="19" t="str">
        <f aca="false">IF(COUNT(F10,G10,H10,I10)=0,"",IF(COUNT(F10,G10,H10,I10)&lt;4,"미측정 항목",IF(AND(F10&gt;=18,F10&lt;23.5,G10&lt;1.5,H10&lt;30,I10&lt;10),"적정","부적정 — 작업 금지")))</f>
        <v/>
      </c>
      <c r="K10" s="26"/>
      <c r="L10" s="15"/>
    </row>
    <row r="11" customFormat="false" ht="21.75" hidden="false" customHeight="true" outlineLevel="0" collapsed="false">
      <c r="A11" s="15" t="n">
        <v>7</v>
      </c>
      <c r="B11" s="31"/>
      <c r="C11" s="15"/>
      <c r="D11" s="15"/>
      <c r="E11" s="15"/>
      <c r="F11" s="15"/>
      <c r="G11" s="15"/>
      <c r="H11" s="15"/>
      <c r="I11" s="15"/>
      <c r="J11" s="19" t="str">
        <f aca="false">IF(COUNT(F11,G11,H11,I11)=0,"",IF(COUNT(F11,G11,H11,I11)&lt;4,"미측정 항목",IF(AND(F11&gt;=18,F11&lt;23.5,G11&lt;1.5,H11&lt;30,I11&lt;10),"적정","부적정 — 작업 금지")))</f>
        <v/>
      </c>
      <c r="K11" s="26"/>
      <c r="L11" s="15"/>
    </row>
    <row r="12" customFormat="false" ht="21.75" hidden="false" customHeight="true" outlineLevel="0" collapsed="false">
      <c r="A12" s="15" t="n">
        <v>8</v>
      </c>
      <c r="B12" s="31"/>
      <c r="C12" s="15"/>
      <c r="D12" s="15"/>
      <c r="E12" s="15"/>
      <c r="F12" s="15"/>
      <c r="G12" s="15"/>
      <c r="H12" s="15"/>
      <c r="I12" s="15"/>
      <c r="J12" s="19" t="str">
        <f aca="false">IF(COUNT(F12,G12,H12,I12)=0,"",IF(COUNT(F12,G12,H12,I12)&lt;4,"미측정 항목",IF(AND(F12&gt;=18,F12&lt;23.5,G12&lt;1.5,H12&lt;30,I12&lt;10),"적정","부적정 — 작업 금지")))</f>
        <v/>
      </c>
      <c r="K12" s="26"/>
      <c r="L12" s="15"/>
    </row>
    <row r="13" customFormat="false" ht="21.75" hidden="false" customHeight="true" outlineLevel="0" collapsed="false">
      <c r="A13" s="15" t="n">
        <v>9</v>
      </c>
      <c r="B13" s="31"/>
      <c r="C13" s="15"/>
      <c r="D13" s="15"/>
      <c r="E13" s="15"/>
      <c r="F13" s="15"/>
      <c r="G13" s="15"/>
      <c r="H13" s="15"/>
      <c r="I13" s="15"/>
      <c r="J13" s="19" t="str">
        <f aca="false">IF(COUNT(F13,G13,H13,I13)=0,"",IF(COUNT(F13,G13,H13,I13)&lt;4,"미측정 항목",IF(AND(F13&gt;=18,F13&lt;23.5,G13&lt;1.5,H13&lt;30,I13&lt;10),"적정","부적정 — 작업 금지")))</f>
        <v/>
      </c>
      <c r="K13" s="26"/>
      <c r="L13" s="15"/>
    </row>
    <row r="14" customFormat="false" ht="21.75" hidden="false" customHeight="true" outlineLevel="0" collapsed="false">
      <c r="A14" s="15" t="n">
        <v>10</v>
      </c>
      <c r="B14" s="31"/>
      <c r="C14" s="15"/>
      <c r="D14" s="15"/>
      <c r="E14" s="15"/>
      <c r="F14" s="15"/>
      <c r="G14" s="15"/>
      <c r="H14" s="15"/>
      <c r="I14" s="15"/>
      <c r="J14" s="19" t="str">
        <f aca="false">IF(COUNT(F14,G14,H14,I14)=0,"",IF(COUNT(F14,G14,H14,I14)&lt;4,"미측정 항목",IF(AND(F14&gt;=18,F14&lt;23.5,G14&lt;1.5,H14&lt;30,I14&lt;10),"적정","부적정 — 작업 금지")))</f>
        <v/>
      </c>
      <c r="K14" s="26"/>
      <c r="L14" s="15"/>
    </row>
    <row r="15" customFormat="false" ht="21.75" hidden="false" customHeight="true" outlineLevel="0" collapsed="false">
      <c r="A15" s="15" t="n">
        <v>11</v>
      </c>
      <c r="B15" s="31"/>
      <c r="C15" s="15"/>
      <c r="D15" s="15"/>
      <c r="E15" s="15"/>
      <c r="F15" s="15"/>
      <c r="G15" s="15"/>
      <c r="H15" s="15"/>
      <c r="I15" s="15"/>
      <c r="J15" s="19" t="str">
        <f aca="false">IF(COUNT(F15,G15,H15,I15)=0,"",IF(COUNT(F15,G15,H15,I15)&lt;4,"미측정 항목",IF(AND(F15&gt;=18,F15&lt;23.5,G15&lt;1.5,H15&lt;30,I15&lt;10),"적정","부적정 — 작업 금지")))</f>
        <v/>
      </c>
      <c r="K15" s="26"/>
      <c r="L15" s="15"/>
    </row>
    <row r="16" customFormat="false" ht="21.75" hidden="false" customHeight="true" outlineLevel="0" collapsed="false">
      <c r="A16" s="15" t="n">
        <v>12</v>
      </c>
      <c r="B16" s="31"/>
      <c r="C16" s="15"/>
      <c r="D16" s="15"/>
      <c r="E16" s="15"/>
      <c r="F16" s="15"/>
      <c r="G16" s="15"/>
      <c r="H16" s="15"/>
      <c r="I16" s="15"/>
      <c r="J16" s="19" t="str">
        <f aca="false">IF(COUNT(F16,G16,H16,I16)=0,"",IF(COUNT(F16,G16,H16,I16)&lt;4,"미측정 항목",IF(AND(F16&gt;=18,F16&lt;23.5,G16&lt;1.5,H16&lt;30,I16&lt;10),"적정","부적정 — 작업 금지")))</f>
        <v/>
      </c>
      <c r="K16" s="26"/>
      <c r="L16" s="15"/>
    </row>
    <row r="17" customFormat="false" ht="21.75" hidden="false" customHeight="true" outlineLevel="0" collapsed="false">
      <c r="A17" s="15" t="n">
        <v>13</v>
      </c>
      <c r="B17" s="31"/>
      <c r="C17" s="15"/>
      <c r="D17" s="15"/>
      <c r="E17" s="15"/>
      <c r="F17" s="15"/>
      <c r="G17" s="15"/>
      <c r="H17" s="15"/>
      <c r="I17" s="15"/>
      <c r="J17" s="19" t="str">
        <f aca="false">IF(COUNT(F17,G17,H17,I17)=0,"",IF(COUNT(F17,G17,H17,I17)&lt;4,"미측정 항목",IF(AND(F17&gt;=18,F17&lt;23.5,G17&lt;1.5,H17&lt;30,I17&lt;10),"적정","부적정 — 작업 금지")))</f>
        <v/>
      </c>
      <c r="K17" s="26"/>
      <c r="L17" s="15"/>
    </row>
    <row r="18" customFormat="false" ht="21.75" hidden="false" customHeight="true" outlineLevel="0" collapsed="false">
      <c r="A18" s="15" t="n">
        <v>14</v>
      </c>
      <c r="B18" s="31"/>
      <c r="C18" s="15"/>
      <c r="D18" s="15"/>
      <c r="E18" s="15"/>
      <c r="F18" s="15"/>
      <c r="G18" s="15"/>
      <c r="H18" s="15"/>
      <c r="I18" s="15"/>
      <c r="J18" s="19" t="str">
        <f aca="false">IF(COUNT(F18,G18,H18,I18)=0,"",IF(COUNT(F18,G18,H18,I18)&lt;4,"미측정 항목",IF(AND(F18&gt;=18,F18&lt;23.5,G18&lt;1.5,H18&lt;30,I18&lt;10),"적정","부적정 — 작업 금지")))</f>
        <v/>
      </c>
      <c r="K18" s="26"/>
      <c r="L18" s="15"/>
    </row>
    <row r="19" customFormat="false" ht="21.75" hidden="false" customHeight="true" outlineLevel="0" collapsed="false">
      <c r="A19" s="15" t="n">
        <v>15</v>
      </c>
      <c r="B19" s="31"/>
      <c r="C19" s="15"/>
      <c r="D19" s="15"/>
      <c r="E19" s="15"/>
      <c r="F19" s="15"/>
      <c r="G19" s="15"/>
      <c r="H19" s="15"/>
      <c r="I19" s="15"/>
      <c r="J19" s="19" t="str">
        <f aca="false">IF(COUNT(F19,G19,H19,I19)=0,"",IF(COUNT(F19,G19,H19,I19)&lt;4,"미측정 항목",IF(AND(F19&gt;=18,F19&lt;23.5,G19&lt;1.5,H19&lt;30,I19&lt;10),"적정","부적정 — 작업 금지")))</f>
        <v/>
      </c>
      <c r="K19" s="26"/>
      <c r="L19" s="15"/>
    </row>
    <row r="20" customFormat="false" ht="21.75" hidden="false" customHeight="true" outlineLevel="0" collapsed="false">
      <c r="A20" s="15" t="n">
        <v>16</v>
      </c>
      <c r="B20" s="31"/>
      <c r="C20" s="15"/>
      <c r="D20" s="15"/>
      <c r="E20" s="15"/>
      <c r="F20" s="15"/>
      <c r="G20" s="15"/>
      <c r="H20" s="15"/>
      <c r="I20" s="15"/>
      <c r="J20" s="19" t="str">
        <f aca="false">IF(COUNT(F20,G20,H20,I20)=0,"",IF(COUNT(F20,G20,H20,I20)&lt;4,"미측정 항목",IF(AND(F20&gt;=18,F20&lt;23.5,G20&lt;1.5,H20&lt;30,I20&lt;10),"적정","부적정 — 작업 금지")))</f>
        <v/>
      </c>
      <c r="K20" s="26"/>
      <c r="L20" s="15"/>
    </row>
    <row r="21" customFormat="false" ht="21.75" hidden="false" customHeight="true" outlineLevel="0" collapsed="false">
      <c r="A21" s="15" t="n">
        <v>17</v>
      </c>
      <c r="B21" s="31"/>
      <c r="C21" s="15"/>
      <c r="D21" s="15"/>
      <c r="E21" s="15"/>
      <c r="F21" s="15"/>
      <c r="G21" s="15"/>
      <c r="H21" s="15"/>
      <c r="I21" s="15"/>
      <c r="J21" s="19" t="str">
        <f aca="false">IF(COUNT(F21,G21,H21,I21)=0,"",IF(COUNT(F21,G21,H21,I21)&lt;4,"미측정 항목",IF(AND(F21&gt;=18,F21&lt;23.5,G21&lt;1.5,H21&lt;30,I21&lt;10),"적정","부적정 — 작업 금지")))</f>
        <v/>
      </c>
      <c r="K21" s="26"/>
      <c r="L21" s="15"/>
    </row>
    <row r="22" customFormat="false" ht="21.75" hidden="false" customHeight="true" outlineLevel="0" collapsed="false">
      <c r="A22" s="15" t="n">
        <v>18</v>
      </c>
      <c r="B22" s="31"/>
      <c r="C22" s="15"/>
      <c r="D22" s="15"/>
      <c r="E22" s="15"/>
      <c r="F22" s="15"/>
      <c r="G22" s="15"/>
      <c r="H22" s="15"/>
      <c r="I22" s="15"/>
      <c r="J22" s="19" t="str">
        <f aca="false">IF(COUNT(F22,G22,H22,I22)=0,"",IF(COUNT(F22,G22,H22,I22)&lt;4,"미측정 항목",IF(AND(F22&gt;=18,F22&lt;23.5,G22&lt;1.5,H22&lt;30,I22&lt;10),"적정","부적정 — 작업 금지")))</f>
        <v/>
      </c>
      <c r="K22" s="26"/>
      <c r="L22" s="15"/>
    </row>
    <row r="23" customFormat="false" ht="21.75" hidden="false" customHeight="true" outlineLevel="0" collapsed="false">
      <c r="A23" s="15" t="n">
        <v>19</v>
      </c>
      <c r="B23" s="31"/>
      <c r="C23" s="15"/>
      <c r="D23" s="15"/>
      <c r="E23" s="15"/>
      <c r="F23" s="15"/>
      <c r="G23" s="15"/>
      <c r="H23" s="15"/>
      <c r="I23" s="15"/>
      <c r="J23" s="19" t="str">
        <f aca="false">IF(COUNT(F23,G23,H23,I23)=0,"",IF(COUNT(F23,G23,H23,I23)&lt;4,"미측정 항목",IF(AND(F23&gt;=18,F23&lt;23.5,G23&lt;1.5,H23&lt;30,I23&lt;10),"적정","부적정 — 작업 금지")))</f>
        <v/>
      </c>
      <c r="K23" s="26"/>
      <c r="L23" s="15"/>
    </row>
    <row r="24" customFormat="false" ht="21.75" hidden="false" customHeight="true" outlineLevel="0" collapsed="false">
      <c r="A24" s="15" t="n">
        <v>20</v>
      </c>
      <c r="B24" s="31"/>
      <c r="C24" s="15"/>
      <c r="D24" s="15"/>
      <c r="E24" s="15"/>
      <c r="F24" s="15"/>
      <c r="G24" s="15"/>
      <c r="H24" s="15"/>
      <c r="I24" s="15"/>
      <c r="J24" s="19" t="str">
        <f aca="false">IF(COUNT(F24,G24,H24,I24)=0,"",IF(COUNT(F24,G24,H24,I24)&lt;4,"미측정 항목",IF(AND(F24&gt;=18,F24&lt;23.5,G24&lt;1.5,H24&lt;30,I24&lt;10),"적정","부적정 — 작업 금지")))</f>
        <v/>
      </c>
      <c r="K24" s="26"/>
      <c r="L24" s="15"/>
    </row>
    <row r="25" customFormat="false" ht="21.75" hidden="false" customHeight="true" outlineLevel="0" collapsed="false">
      <c r="A25" s="15" t="n">
        <v>21</v>
      </c>
      <c r="B25" s="31"/>
      <c r="C25" s="15"/>
      <c r="D25" s="15"/>
      <c r="E25" s="15"/>
      <c r="F25" s="15"/>
      <c r="G25" s="15"/>
      <c r="H25" s="15"/>
      <c r="I25" s="15"/>
      <c r="J25" s="19" t="str">
        <f aca="false">IF(COUNT(F25,G25,H25,I25)=0,"",IF(COUNT(F25,G25,H25,I25)&lt;4,"미측정 항목",IF(AND(F25&gt;=18,F25&lt;23.5,G25&lt;1.5,H25&lt;30,I25&lt;10),"적정","부적정 — 작업 금지")))</f>
        <v/>
      </c>
      <c r="K25" s="26"/>
      <c r="L25" s="15"/>
    </row>
    <row r="26" customFormat="false" ht="21.75" hidden="false" customHeight="true" outlineLevel="0" collapsed="false">
      <c r="A26" s="15" t="n">
        <v>22</v>
      </c>
      <c r="B26" s="31"/>
      <c r="C26" s="15"/>
      <c r="D26" s="15"/>
      <c r="E26" s="15"/>
      <c r="F26" s="15"/>
      <c r="G26" s="15"/>
      <c r="H26" s="15"/>
      <c r="I26" s="15"/>
      <c r="J26" s="19" t="str">
        <f aca="false">IF(COUNT(F26,G26,H26,I26)=0,"",IF(COUNT(F26,G26,H26,I26)&lt;4,"미측정 항목",IF(AND(F26&gt;=18,F26&lt;23.5,G26&lt;1.5,H26&lt;30,I26&lt;10),"적정","부적정 — 작업 금지")))</f>
        <v/>
      </c>
      <c r="K26" s="26"/>
      <c r="L26" s="15"/>
    </row>
    <row r="27" customFormat="false" ht="21.75" hidden="false" customHeight="true" outlineLevel="0" collapsed="false">
      <c r="A27" s="15" t="n">
        <v>23</v>
      </c>
      <c r="B27" s="31"/>
      <c r="C27" s="15"/>
      <c r="D27" s="15"/>
      <c r="E27" s="15"/>
      <c r="F27" s="15"/>
      <c r="G27" s="15"/>
      <c r="H27" s="15"/>
      <c r="I27" s="15"/>
      <c r="J27" s="19" t="str">
        <f aca="false">IF(COUNT(F27,G27,H27,I27)=0,"",IF(COUNT(F27,G27,H27,I27)&lt;4,"미측정 항목",IF(AND(F27&gt;=18,F27&lt;23.5,G27&lt;1.5,H27&lt;30,I27&lt;10),"적정","부적정 — 작업 금지")))</f>
        <v/>
      </c>
      <c r="K27" s="26"/>
      <c r="L27" s="15"/>
    </row>
    <row r="28" customFormat="false" ht="21.75" hidden="false" customHeight="true" outlineLevel="0" collapsed="false">
      <c r="A28" s="15" t="n">
        <v>24</v>
      </c>
      <c r="B28" s="31"/>
      <c r="C28" s="15"/>
      <c r="D28" s="15"/>
      <c r="E28" s="15"/>
      <c r="F28" s="15"/>
      <c r="G28" s="15"/>
      <c r="H28" s="15"/>
      <c r="I28" s="15"/>
      <c r="J28" s="19" t="str">
        <f aca="false">IF(COUNT(F28,G28,H28,I28)=0,"",IF(COUNT(F28,G28,H28,I28)&lt;4,"미측정 항목",IF(AND(F28&gt;=18,F28&lt;23.5,G28&lt;1.5,H28&lt;30,I28&lt;10),"적정","부적정 — 작업 금지")))</f>
        <v/>
      </c>
      <c r="K28" s="26"/>
      <c r="L28" s="15"/>
    </row>
    <row r="29" customFormat="false" ht="21.75" hidden="false" customHeight="true" outlineLevel="0" collapsed="false">
      <c r="A29" s="15" t="n">
        <v>25</v>
      </c>
      <c r="B29" s="31"/>
      <c r="C29" s="15"/>
      <c r="D29" s="15"/>
      <c r="E29" s="15"/>
      <c r="F29" s="15"/>
      <c r="G29" s="15"/>
      <c r="H29" s="15"/>
      <c r="I29" s="15"/>
      <c r="J29" s="19" t="str">
        <f aca="false">IF(COUNT(F29,G29,H29,I29)=0,"",IF(COUNT(F29,G29,H29,I29)&lt;4,"미측정 항목",IF(AND(F29&gt;=18,F29&lt;23.5,G29&lt;1.5,H29&lt;30,I29&lt;10),"적정","부적정 — 작업 금지")))</f>
        <v/>
      </c>
      <c r="K29" s="26"/>
      <c r="L29" s="15"/>
    </row>
    <row r="30" customFormat="false" ht="21.75" hidden="false" customHeight="true" outlineLevel="0" collapsed="false">
      <c r="A30" s="15" t="n">
        <v>26</v>
      </c>
      <c r="B30" s="31"/>
      <c r="C30" s="15"/>
      <c r="D30" s="15"/>
      <c r="E30" s="15"/>
      <c r="F30" s="15"/>
      <c r="G30" s="15"/>
      <c r="H30" s="15"/>
      <c r="I30" s="15"/>
      <c r="J30" s="19" t="str">
        <f aca="false">IF(COUNT(F30,G30,H30,I30)=0,"",IF(COUNT(F30,G30,H30,I30)&lt;4,"미측정 항목",IF(AND(F30&gt;=18,F30&lt;23.5,G30&lt;1.5,H30&lt;30,I30&lt;10),"적정","부적정 — 작업 금지")))</f>
        <v/>
      </c>
      <c r="K30" s="26"/>
      <c r="L30" s="15"/>
    </row>
    <row r="31" customFormat="false" ht="21.75" hidden="false" customHeight="true" outlineLevel="0" collapsed="false">
      <c r="A31" s="15" t="n">
        <v>27</v>
      </c>
      <c r="B31" s="31"/>
      <c r="C31" s="15"/>
      <c r="D31" s="15"/>
      <c r="E31" s="15"/>
      <c r="F31" s="15"/>
      <c r="G31" s="15"/>
      <c r="H31" s="15"/>
      <c r="I31" s="15"/>
      <c r="J31" s="19" t="str">
        <f aca="false">IF(COUNT(F31,G31,H31,I31)=0,"",IF(COUNT(F31,G31,H31,I31)&lt;4,"미측정 항목",IF(AND(F31&gt;=18,F31&lt;23.5,G31&lt;1.5,H31&lt;30,I31&lt;10),"적정","부적정 — 작업 금지")))</f>
        <v/>
      </c>
      <c r="K31" s="26"/>
      <c r="L31" s="15"/>
    </row>
    <row r="32" customFormat="false" ht="21.75" hidden="false" customHeight="true" outlineLevel="0" collapsed="false">
      <c r="A32" s="15" t="n">
        <v>28</v>
      </c>
      <c r="B32" s="31"/>
      <c r="C32" s="15"/>
      <c r="D32" s="15"/>
      <c r="E32" s="15"/>
      <c r="F32" s="15"/>
      <c r="G32" s="15"/>
      <c r="H32" s="15"/>
      <c r="I32" s="15"/>
      <c r="J32" s="19" t="str">
        <f aca="false">IF(COUNT(F32,G32,H32,I32)=0,"",IF(COUNT(F32,G32,H32,I32)&lt;4,"미측정 항목",IF(AND(F32&gt;=18,F32&lt;23.5,G32&lt;1.5,H32&lt;30,I32&lt;10),"적정","부적정 — 작업 금지")))</f>
        <v/>
      </c>
      <c r="K32" s="26"/>
      <c r="L32" s="15"/>
    </row>
    <row r="33" customFormat="false" ht="21.75" hidden="false" customHeight="true" outlineLevel="0" collapsed="false">
      <c r="A33" s="15" t="n">
        <v>29</v>
      </c>
      <c r="B33" s="31"/>
      <c r="C33" s="15"/>
      <c r="D33" s="15"/>
      <c r="E33" s="15"/>
      <c r="F33" s="15"/>
      <c r="G33" s="15"/>
      <c r="H33" s="15"/>
      <c r="I33" s="15"/>
      <c r="J33" s="19" t="str">
        <f aca="false">IF(COUNT(F33,G33,H33,I33)=0,"",IF(COUNT(F33,G33,H33,I33)&lt;4,"미측정 항목",IF(AND(F33&gt;=18,F33&lt;23.5,G33&lt;1.5,H33&lt;30,I33&lt;10),"적정","부적정 — 작업 금지")))</f>
        <v/>
      </c>
      <c r="K33" s="26"/>
      <c r="L33" s="15"/>
    </row>
    <row r="34" customFormat="false" ht="21.75" hidden="false" customHeight="true" outlineLevel="0" collapsed="false">
      <c r="A34" s="15" t="n">
        <v>30</v>
      </c>
      <c r="B34" s="31"/>
      <c r="C34" s="15"/>
      <c r="D34" s="15"/>
      <c r="E34" s="15"/>
      <c r="F34" s="15"/>
      <c r="G34" s="15"/>
      <c r="H34" s="15"/>
      <c r="I34" s="15"/>
      <c r="J34" s="19" t="str">
        <f aca="false">IF(COUNT(F34,G34,H34,I34)=0,"",IF(COUNT(F34,G34,H34,I34)&lt;4,"미측정 항목",IF(AND(F34&gt;=18,F34&lt;23.5,G34&lt;1.5,H34&lt;30,I34&lt;10),"적정","부적정 — 작업 금지")))</f>
        <v/>
      </c>
      <c r="K34" s="26"/>
      <c r="L34" s="15"/>
    </row>
    <row r="35" customFormat="false" ht="21.75" hidden="false" customHeight="true" outlineLevel="0" collapsed="false">
      <c r="A35" s="15" t="n">
        <v>31</v>
      </c>
      <c r="B35" s="31"/>
      <c r="C35" s="15"/>
      <c r="D35" s="15"/>
      <c r="E35" s="15"/>
      <c r="F35" s="15"/>
      <c r="G35" s="15"/>
      <c r="H35" s="15"/>
      <c r="I35" s="15"/>
      <c r="J35" s="19" t="str">
        <f aca="false">IF(COUNT(F35,G35,H35,I35)=0,"",IF(COUNT(F35,G35,H35,I35)&lt;4,"미측정 항목",IF(AND(F35&gt;=18,F35&lt;23.5,G35&lt;1.5,H35&lt;30,I35&lt;10),"적정","부적정 — 작업 금지")))</f>
        <v/>
      </c>
      <c r="K35" s="26"/>
      <c r="L35" s="15"/>
    </row>
    <row r="36" customFormat="false" ht="21.75" hidden="false" customHeight="true" outlineLevel="0" collapsed="false">
      <c r="A36" s="15" t="n">
        <v>32</v>
      </c>
      <c r="B36" s="31"/>
      <c r="C36" s="15"/>
      <c r="D36" s="15"/>
      <c r="E36" s="15"/>
      <c r="F36" s="15"/>
      <c r="G36" s="15"/>
      <c r="H36" s="15"/>
      <c r="I36" s="15"/>
      <c r="J36" s="19" t="str">
        <f aca="false">IF(COUNT(F36,G36,H36,I36)=0,"",IF(COUNT(F36,G36,H36,I36)&lt;4,"미측정 항목",IF(AND(F36&gt;=18,F36&lt;23.5,G36&lt;1.5,H36&lt;30,I36&lt;10),"적정","부적정 — 작업 금지")))</f>
        <v/>
      </c>
      <c r="K36" s="26"/>
      <c r="L36" s="15"/>
    </row>
    <row r="37" customFormat="false" ht="21.75" hidden="false" customHeight="true" outlineLevel="0" collapsed="false">
      <c r="A37" s="15" t="n">
        <v>33</v>
      </c>
      <c r="B37" s="31"/>
      <c r="C37" s="15"/>
      <c r="D37" s="15"/>
      <c r="E37" s="15"/>
      <c r="F37" s="15"/>
      <c r="G37" s="15"/>
      <c r="H37" s="15"/>
      <c r="I37" s="15"/>
      <c r="J37" s="19" t="str">
        <f aca="false">IF(COUNT(F37,G37,H37,I37)=0,"",IF(COUNT(F37,G37,H37,I37)&lt;4,"미측정 항목",IF(AND(F37&gt;=18,F37&lt;23.5,G37&lt;1.5,H37&lt;30,I37&lt;10),"적정","부적정 — 작업 금지")))</f>
        <v/>
      </c>
      <c r="K37" s="26"/>
      <c r="L37" s="15"/>
    </row>
    <row r="38" customFormat="false" ht="21.75" hidden="false" customHeight="true" outlineLevel="0" collapsed="false">
      <c r="A38" s="15" t="n">
        <v>34</v>
      </c>
      <c r="B38" s="31"/>
      <c r="C38" s="15"/>
      <c r="D38" s="15"/>
      <c r="E38" s="15"/>
      <c r="F38" s="15"/>
      <c r="G38" s="15"/>
      <c r="H38" s="15"/>
      <c r="I38" s="15"/>
      <c r="J38" s="19" t="str">
        <f aca="false">IF(COUNT(F38,G38,H38,I38)=0,"",IF(COUNT(F38,G38,H38,I38)&lt;4,"미측정 항목",IF(AND(F38&gt;=18,F38&lt;23.5,G38&lt;1.5,H38&lt;30,I38&lt;10),"적정","부적정 — 작업 금지")))</f>
        <v/>
      </c>
      <c r="K38" s="26"/>
      <c r="L38" s="15"/>
    </row>
    <row r="39" customFormat="false" ht="21.75" hidden="false" customHeight="true" outlineLevel="0" collapsed="false">
      <c r="A39" s="15" t="n">
        <v>35</v>
      </c>
      <c r="B39" s="31"/>
      <c r="C39" s="15"/>
      <c r="D39" s="15"/>
      <c r="E39" s="15"/>
      <c r="F39" s="15"/>
      <c r="G39" s="15"/>
      <c r="H39" s="15"/>
      <c r="I39" s="15"/>
      <c r="J39" s="19" t="str">
        <f aca="false">IF(COUNT(F39,G39,H39,I39)=0,"",IF(COUNT(F39,G39,H39,I39)&lt;4,"미측정 항목",IF(AND(F39&gt;=18,F39&lt;23.5,G39&lt;1.5,H39&lt;30,I39&lt;10),"적정","부적정 — 작업 금지")))</f>
        <v/>
      </c>
      <c r="K39" s="26"/>
      <c r="L39" s="15"/>
    </row>
    <row r="40" customFormat="false" ht="21.75" hidden="false" customHeight="true" outlineLevel="0" collapsed="false">
      <c r="A40" s="15" t="n">
        <v>36</v>
      </c>
      <c r="B40" s="31"/>
      <c r="C40" s="15"/>
      <c r="D40" s="15"/>
      <c r="E40" s="15"/>
      <c r="F40" s="15"/>
      <c r="G40" s="15"/>
      <c r="H40" s="15"/>
      <c r="I40" s="15"/>
      <c r="J40" s="19" t="str">
        <f aca="false">IF(COUNT(F40,G40,H40,I40)=0,"",IF(COUNT(F40,G40,H40,I40)&lt;4,"미측정 항목",IF(AND(F40&gt;=18,F40&lt;23.5,G40&lt;1.5,H40&lt;30,I40&lt;10),"적정","부적정 — 작업 금지")))</f>
        <v/>
      </c>
      <c r="K40" s="26"/>
      <c r="L40" s="15"/>
    </row>
    <row r="41" customFormat="false" ht="21.75" hidden="false" customHeight="true" outlineLevel="0" collapsed="false">
      <c r="A41" s="15" t="n">
        <v>37</v>
      </c>
      <c r="B41" s="31"/>
      <c r="C41" s="15"/>
      <c r="D41" s="15"/>
      <c r="E41" s="15"/>
      <c r="F41" s="15"/>
      <c r="G41" s="15"/>
      <c r="H41" s="15"/>
      <c r="I41" s="15"/>
      <c r="J41" s="19" t="str">
        <f aca="false">IF(COUNT(F41,G41,H41,I41)=0,"",IF(COUNT(F41,G41,H41,I41)&lt;4,"미측정 항목",IF(AND(F41&gt;=18,F41&lt;23.5,G41&lt;1.5,H41&lt;30,I41&lt;10),"적정","부적정 — 작업 금지")))</f>
        <v/>
      </c>
      <c r="K41" s="26"/>
      <c r="L41" s="15"/>
    </row>
    <row r="42" customFormat="false" ht="21.75" hidden="false" customHeight="true" outlineLevel="0" collapsed="false">
      <c r="A42" s="15" t="n">
        <v>38</v>
      </c>
      <c r="B42" s="31"/>
      <c r="C42" s="15"/>
      <c r="D42" s="15"/>
      <c r="E42" s="15"/>
      <c r="F42" s="15"/>
      <c r="G42" s="15"/>
      <c r="H42" s="15"/>
      <c r="I42" s="15"/>
      <c r="J42" s="19" t="str">
        <f aca="false">IF(COUNT(F42,G42,H42,I42)=0,"",IF(COUNT(F42,G42,H42,I42)&lt;4,"미측정 항목",IF(AND(F42&gt;=18,F42&lt;23.5,G42&lt;1.5,H42&lt;30,I42&lt;10),"적정","부적정 — 작업 금지")))</f>
        <v/>
      </c>
      <c r="K42" s="26"/>
      <c r="L42" s="15"/>
    </row>
    <row r="43" customFormat="false" ht="21.75" hidden="false" customHeight="true" outlineLevel="0" collapsed="false">
      <c r="A43" s="15" t="n">
        <v>39</v>
      </c>
      <c r="B43" s="31"/>
      <c r="C43" s="15"/>
      <c r="D43" s="15"/>
      <c r="E43" s="15"/>
      <c r="F43" s="15"/>
      <c r="G43" s="15"/>
      <c r="H43" s="15"/>
      <c r="I43" s="15"/>
      <c r="J43" s="19" t="str">
        <f aca="false">IF(COUNT(F43,G43,H43,I43)=0,"",IF(COUNT(F43,G43,H43,I43)&lt;4,"미측정 항목",IF(AND(F43&gt;=18,F43&lt;23.5,G43&lt;1.5,H43&lt;30,I43&lt;10),"적정","부적정 — 작업 금지")))</f>
        <v/>
      </c>
      <c r="K43" s="26"/>
      <c r="L43" s="15"/>
    </row>
    <row r="44" customFormat="false" ht="21.75" hidden="false" customHeight="true" outlineLevel="0" collapsed="false">
      <c r="A44" s="15" t="n">
        <v>40</v>
      </c>
      <c r="B44" s="31"/>
      <c r="C44" s="15"/>
      <c r="D44" s="15"/>
      <c r="E44" s="15"/>
      <c r="F44" s="15"/>
      <c r="G44" s="15"/>
      <c r="H44" s="15"/>
      <c r="I44" s="15"/>
      <c r="J44" s="19" t="str">
        <f aca="false">IF(COUNT(F44,G44,H44,I44)=0,"",IF(COUNT(F44,G44,H44,I44)&lt;4,"미측정 항목",IF(AND(F44&gt;=18,F44&lt;23.5,G44&lt;1.5,H44&lt;30,I44&lt;10),"적정","부적정 — 작업 금지")))</f>
        <v/>
      </c>
      <c r="K44" s="26"/>
      <c r="L44" s="15"/>
    </row>
  </sheetData>
  <mergeCells count="3">
    <mergeCell ref="A1:I1"/>
    <mergeCell ref="A2:I2"/>
    <mergeCell ref="A3:L3"/>
  </mergeCells>
  <conditionalFormatting sqref="J5:J44">
    <cfRule type="expression" priority="2" aboveAverage="0" equalAverage="0" bottom="0" percent="0" rank="0" text="" dxfId="0">
      <formula>ISNUMBER(SEARCH("부적정",J5))</formula>
    </cfRule>
    <cfRule type="expression" priority="3" aboveAverage="0" equalAverage="0" bottom="0" percent="0" rank="0" text="" dxfId="1">
      <formula>ISNUMBER(SEARCH("미측정",J5))</formula>
    </cfRule>
  </conditionalFormatting>
  <dataValidations count="2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D5:D44" type="list">
      <formula1>"작업 전,재개 전,작업 중,작업 후"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E5:E44" type="list">
      <formula1>"상,중,하,상·중·하"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90FA"/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3.7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8" t="s">
        <v>93</v>
      </c>
      <c r="B2" s="8"/>
      <c r="C2" s="8"/>
      <c r="D2" s="8"/>
      <c r="E2" s="8"/>
      <c r="F2" s="8"/>
      <c r="G2" s="8"/>
      <c r="H2" s="8"/>
    </row>
    <row r="4" customFormat="false" ht="24" hidden="false" customHeight="true" outlineLevel="0" collapsed="false">
      <c r="A4" s="11" t="s">
        <v>94</v>
      </c>
      <c r="B4" s="11"/>
      <c r="C4" s="24"/>
      <c r="D4" s="24"/>
      <c r="E4" s="24"/>
      <c r="F4" s="24"/>
      <c r="G4" s="11" t="s">
        <v>36</v>
      </c>
      <c r="H4" s="24"/>
    </row>
    <row r="6" customFormat="false" ht="25.5" hidden="false" customHeight="true" outlineLevel="0" collapsed="false">
      <c r="A6" s="29" t="s">
        <v>80</v>
      </c>
      <c r="B6" s="11" t="s">
        <v>32</v>
      </c>
      <c r="C6" s="11" t="s">
        <v>33</v>
      </c>
      <c r="D6" s="11" t="s">
        <v>95</v>
      </c>
      <c r="E6" s="11" t="s">
        <v>96</v>
      </c>
      <c r="F6" s="11" t="s">
        <v>97</v>
      </c>
      <c r="G6" s="11" t="s">
        <v>98</v>
      </c>
      <c r="H6" s="11" t="s">
        <v>99</v>
      </c>
    </row>
    <row r="7" customFormat="false" ht="21.75" hidden="false" customHeight="true" outlineLevel="0" collapsed="false">
      <c r="A7" s="15" t="n">
        <v>1</v>
      </c>
      <c r="B7" s="18" t="s">
        <v>91</v>
      </c>
      <c r="C7" s="17" t="s">
        <v>100</v>
      </c>
      <c r="D7" s="16" t="s">
        <v>101</v>
      </c>
      <c r="E7" s="16" t="s">
        <v>102</v>
      </c>
      <c r="F7" s="32" t="n">
        <f aca="false">IF(OR(D7="",E7=""),IF(D7&lt;&gt;"","작업 중",""),E7-D7)</f>
        <v>0.0319444444444444</v>
      </c>
      <c r="G7" s="17" t="s">
        <v>103</v>
      </c>
      <c r="H7" s="18" t="s">
        <v>104</v>
      </c>
    </row>
    <row r="8" customFormat="false" ht="21.75" hidden="false" customHeight="true" outlineLevel="0" collapsed="false">
      <c r="A8" s="15" t="n">
        <v>2</v>
      </c>
      <c r="B8" s="15"/>
      <c r="C8" s="15"/>
      <c r="D8" s="20"/>
      <c r="E8" s="20"/>
      <c r="F8" s="32" t="str">
        <f aca="false">IF(OR(D8="",E8=""),IF(D8&lt;&gt;"","작업 중",""),E8-D8)</f>
        <v/>
      </c>
      <c r="G8" s="15"/>
      <c r="H8" s="15"/>
    </row>
    <row r="9" customFormat="false" ht="21.75" hidden="false" customHeight="true" outlineLevel="0" collapsed="false">
      <c r="A9" s="15" t="n">
        <v>3</v>
      </c>
      <c r="B9" s="15"/>
      <c r="C9" s="15"/>
      <c r="D9" s="20"/>
      <c r="E9" s="20"/>
      <c r="F9" s="32" t="str">
        <f aca="false">IF(OR(D9="",E9=""),IF(D9&lt;&gt;"","작업 중",""),E9-D9)</f>
        <v/>
      </c>
      <c r="G9" s="15"/>
      <c r="H9" s="15"/>
    </row>
    <row r="10" customFormat="false" ht="21.75" hidden="false" customHeight="true" outlineLevel="0" collapsed="false">
      <c r="A10" s="15" t="n">
        <v>4</v>
      </c>
      <c r="B10" s="15"/>
      <c r="C10" s="15"/>
      <c r="D10" s="20"/>
      <c r="E10" s="20"/>
      <c r="F10" s="32" t="str">
        <f aca="false">IF(OR(D10="",E10=""),IF(D10&lt;&gt;"","작업 중",""),E10-D10)</f>
        <v/>
      </c>
      <c r="G10" s="15"/>
      <c r="H10" s="15"/>
    </row>
    <row r="11" customFormat="false" ht="21.75" hidden="false" customHeight="true" outlineLevel="0" collapsed="false">
      <c r="A11" s="15" t="n">
        <v>5</v>
      </c>
      <c r="B11" s="15"/>
      <c r="C11" s="15"/>
      <c r="D11" s="20"/>
      <c r="E11" s="20"/>
      <c r="F11" s="32" t="str">
        <f aca="false">IF(OR(D11="",E11=""),IF(D11&lt;&gt;"","작업 중",""),E11-D11)</f>
        <v/>
      </c>
      <c r="G11" s="15"/>
      <c r="H11" s="15"/>
    </row>
    <row r="12" customFormat="false" ht="21.75" hidden="false" customHeight="true" outlineLevel="0" collapsed="false">
      <c r="A12" s="15" t="n">
        <v>6</v>
      </c>
      <c r="B12" s="15"/>
      <c r="C12" s="15"/>
      <c r="D12" s="20"/>
      <c r="E12" s="20"/>
      <c r="F12" s="32" t="str">
        <f aca="false">IF(OR(D12="",E12=""),IF(D12&lt;&gt;"","작업 중",""),E12-D12)</f>
        <v/>
      </c>
      <c r="G12" s="15"/>
      <c r="H12" s="15"/>
    </row>
    <row r="13" customFormat="false" ht="21.75" hidden="false" customHeight="true" outlineLevel="0" collapsed="false">
      <c r="A13" s="15" t="n">
        <v>7</v>
      </c>
      <c r="B13" s="15"/>
      <c r="C13" s="15"/>
      <c r="D13" s="20"/>
      <c r="E13" s="20"/>
      <c r="F13" s="32" t="str">
        <f aca="false">IF(OR(D13="",E13=""),IF(D13&lt;&gt;"","작업 중",""),E13-D13)</f>
        <v/>
      </c>
      <c r="G13" s="15"/>
      <c r="H13" s="15"/>
    </row>
    <row r="14" customFormat="false" ht="21.75" hidden="false" customHeight="true" outlineLevel="0" collapsed="false">
      <c r="A14" s="15" t="n">
        <v>8</v>
      </c>
      <c r="B14" s="15"/>
      <c r="C14" s="15"/>
      <c r="D14" s="20"/>
      <c r="E14" s="20"/>
      <c r="F14" s="32" t="str">
        <f aca="false">IF(OR(D14="",E14=""),IF(D14&lt;&gt;"","작업 중",""),E14-D14)</f>
        <v/>
      </c>
      <c r="G14" s="15"/>
      <c r="H14" s="15"/>
    </row>
    <row r="15" customFormat="false" ht="21.75" hidden="false" customHeight="true" outlineLevel="0" collapsed="false">
      <c r="A15" s="15" t="n">
        <v>9</v>
      </c>
      <c r="B15" s="15"/>
      <c r="C15" s="15"/>
      <c r="D15" s="20"/>
      <c r="E15" s="20"/>
      <c r="F15" s="32" t="str">
        <f aca="false">IF(OR(D15="",E15=""),IF(D15&lt;&gt;"","작업 중",""),E15-D15)</f>
        <v/>
      </c>
      <c r="G15" s="15"/>
      <c r="H15" s="15"/>
    </row>
    <row r="16" customFormat="false" ht="21.75" hidden="false" customHeight="true" outlineLevel="0" collapsed="false">
      <c r="A16" s="15" t="n">
        <v>10</v>
      </c>
      <c r="B16" s="15"/>
      <c r="C16" s="15"/>
      <c r="D16" s="20"/>
      <c r="E16" s="20"/>
      <c r="F16" s="32" t="str">
        <f aca="false">IF(OR(D16="",E16=""),IF(D16&lt;&gt;"","작업 중",""),E16-D16)</f>
        <v/>
      </c>
      <c r="G16" s="15"/>
      <c r="H16" s="15"/>
    </row>
    <row r="17" customFormat="false" ht="21.75" hidden="false" customHeight="true" outlineLevel="0" collapsed="false">
      <c r="A17" s="15" t="n">
        <v>11</v>
      </c>
      <c r="B17" s="15"/>
      <c r="C17" s="15"/>
      <c r="D17" s="20"/>
      <c r="E17" s="20"/>
      <c r="F17" s="32" t="str">
        <f aca="false">IF(OR(D17="",E17=""),IF(D17&lt;&gt;"","작업 중",""),E17-D17)</f>
        <v/>
      </c>
      <c r="G17" s="15"/>
      <c r="H17" s="15"/>
    </row>
    <row r="18" customFormat="false" ht="21.75" hidden="false" customHeight="true" outlineLevel="0" collapsed="false">
      <c r="A18" s="15" t="n">
        <v>12</v>
      </c>
      <c r="B18" s="15"/>
      <c r="C18" s="15"/>
      <c r="D18" s="20"/>
      <c r="E18" s="20"/>
      <c r="F18" s="32" t="str">
        <f aca="false">IF(OR(D18="",E18=""),IF(D18&lt;&gt;"","작업 중",""),E18-D18)</f>
        <v/>
      </c>
      <c r="G18" s="15"/>
      <c r="H18" s="15"/>
    </row>
    <row r="19" customFormat="false" ht="21.75" hidden="false" customHeight="true" outlineLevel="0" collapsed="false">
      <c r="A19" s="15" t="n">
        <v>13</v>
      </c>
      <c r="B19" s="15"/>
      <c r="C19" s="15"/>
      <c r="D19" s="20"/>
      <c r="E19" s="20"/>
      <c r="F19" s="32" t="str">
        <f aca="false">IF(OR(D19="",E19=""),IF(D19&lt;&gt;"","작업 중",""),E19-D19)</f>
        <v/>
      </c>
      <c r="G19" s="15"/>
      <c r="H19" s="15"/>
    </row>
    <row r="20" customFormat="false" ht="21.75" hidden="false" customHeight="true" outlineLevel="0" collapsed="false">
      <c r="A20" s="15" t="n">
        <v>14</v>
      </c>
      <c r="B20" s="15"/>
      <c r="C20" s="15"/>
      <c r="D20" s="20"/>
      <c r="E20" s="20"/>
      <c r="F20" s="32" t="str">
        <f aca="false">IF(OR(D20="",E20=""),IF(D20&lt;&gt;"","작업 중",""),E20-D20)</f>
        <v/>
      </c>
      <c r="G20" s="15"/>
      <c r="H20" s="15"/>
    </row>
    <row r="21" customFormat="false" ht="21.75" hidden="false" customHeight="true" outlineLevel="0" collapsed="false">
      <c r="A21" s="15" t="n">
        <v>15</v>
      </c>
      <c r="B21" s="15"/>
      <c r="C21" s="15"/>
      <c r="D21" s="20"/>
      <c r="E21" s="20"/>
      <c r="F21" s="32" t="str">
        <f aca="false">IF(OR(D21="",E21=""),IF(D21&lt;&gt;"","작업 중",""),E21-D21)</f>
        <v/>
      </c>
      <c r="G21" s="15"/>
      <c r="H21" s="15"/>
    </row>
    <row r="22" customFormat="false" ht="21.75" hidden="false" customHeight="true" outlineLevel="0" collapsed="false">
      <c r="A22" s="15" t="n">
        <v>16</v>
      </c>
      <c r="B22" s="15"/>
      <c r="C22" s="15"/>
      <c r="D22" s="20"/>
      <c r="E22" s="20"/>
      <c r="F22" s="32" t="str">
        <f aca="false">IF(OR(D22="",E22=""),IF(D22&lt;&gt;"","작업 중",""),E22-D22)</f>
        <v/>
      </c>
      <c r="G22" s="15"/>
      <c r="H22" s="15"/>
    </row>
    <row r="23" customFormat="false" ht="21.75" hidden="false" customHeight="true" outlineLevel="0" collapsed="false">
      <c r="A23" s="15" t="n">
        <v>17</v>
      </c>
      <c r="B23" s="15"/>
      <c r="C23" s="15"/>
      <c r="D23" s="20"/>
      <c r="E23" s="20"/>
      <c r="F23" s="32" t="str">
        <f aca="false">IF(OR(D23="",E23=""),IF(D23&lt;&gt;"","작업 중",""),E23-D23)</f>
        <v/>
      </c>
      <c r="G23" s="15"/>
      <c r="H23" s="15"/>
    </row>
    <row r="24" customFormat="false" ht="21.75" hidden="false" customHeight="true" outlineLevel="0" collapsed="false">
      <c r="A24" s="15" t="n">
        <v>18</v>
      </c>
      <c r="B24" s="15"/>
      <c r="C24" s="15"/>
      <c r="D24" s="20"/>
      <c r="E24" s="20"/>
      <c r="F24" s="32" t="str">
        <f aca="false">IF(OR(D24="",E24=""),IF(D24&lt;&gt;"","작업 중",""),E24-D24)</f>
        <v/>
      </c>
      <c r="G24" s="15"/>
      <c r="H24" s="15"/>
    </row>
    <row r="25" customFormat="false" ht="21.75" hidden="false" customHeight="true" outlineLevel="0" collapsed="false">
      <c r="A25" s="15" t="n">
        <v>19</v>
      </c>
      <c r="B25" s="15"/>
      <c r="C25" s="15"/>
      <c r="D25" s="20"/>
      <c r="E25" s="20"/>
      <c r="F25" s="32" t="str">
        <f aca="false">IF(OR(D25="",E25=""),IF(D25&lt;&gt;"","작업 중",""),E25-D25)</f>
        <v/>
      </c>
      <c r="G25" s="15"/>
      <c r="H25" s="15"/>
    </row>
    <row r="26" customFormat="false" ht="21.75" hidden="false" customHeight="true" outlineLevel="0" collapsed="false">
      <c r="A26" s="15" t="n">
        <v>20</v>
      </c>
      <c r="B26" s="15"/>
      <c r="C26" s="15"/>
      <c r="D26" s="20"/>
      <c r="E26" s="20"/>
      <c r="F26" s="32" t="str">
        <f aca="false">IF(OR(D26="",E26=""),IF(D26&lt;&gt;"","작업 중",""),E26-D26)</f>
        <v/>
      </c>
      <c r="G26" s="15"/>
      <c r="H26" s="15"/>
    </row>
    <row r="27" customFormat="false" ht="21.75" hidden="false" customHeight="true" outlineLevel="0" collapsed="false">
      <c r="A27" s="15" t="n">
        <v>21</v>
      </c>
      <c r="B27" s="15"/>
      <c r="C27" s="15"/>
      <c r="D27" s="20"/>
      <c r="E27" s="20"/>
      <c r="F27" s="32" t="str">
        <f aca="false">IF(OR(D27="",E27=""),IF(D27&lt;&gt;"","작업 중",""),E27-D27)</f>
        <v/>
      </c>
      <c r="G27" s="15"/>
      <c r="H27" s="15"/>
    </row>
    <row r="28" customFormat="false" ht="21.75" hidden="false" customHeight="true" outlineLevel="0" collapsed="false">
      <c r="A28" s="15" t="n">
        <v>22</v>
      </c>
      <c r="B28" s="15"/>
      <c r="C28" s="15"/>
      <c r="D28" s="20"/>
      <c r="E28" s="20"/>
      <c r="F28" s="32" t="str">
        <f aca="false">IF(OR(D28="",E28=""),IF(D28&lt;&gt;"","작업 중",""),E28-D28)</f>
        <v/>
      </c>
      <c r="G28" s="15"/>
      <c r="H28" s="15"/>
    </row>
    <row r="29" customFormat="false" ht="21.75" hidden="false" customHeight="true" outlineLevel="0" collapsed="false">
      <c r="A29" s="15" t="n">
        <v>23</v>
      </c>
      <c r="B29" s="15"/>
      <c r="C29" s="15"/>
      <c r="D29" s="20"/>
      <c r="E29" s="20"/>
      <c r="F29" s="32" t="str">
        <f aca="false">IF(OR(D29="",E29=""),IF(D29&lt;&gt;"","작업 중",""),E29-D29)</f>
        <v/>
      </c>
      <c r="G29" s="15"/>
      <c r="H29" s="15"/>
    </row>
    <row r="30" customFormat="false" ht="21.75" hidden="false" customHeight="true" outlineLevel="0" collapsed="false">
      <c r="A30" s="15" t="n">
        <v>24</v>
      </c>
      <c r="B30" s="15"/>
      <c r="C30" s="15"/>
      <c r="D30" s="20"/>
      <c r="E30" s="20"/>
      <c r="F30" s="32" t="str">
        <f aca="false">IF(OR(D30="",E30=""),IF(D30&lt;&gt;"","작업 중",""),E30-D30)</f>
        <v/>
      </c>
      <c r="G30" s="15"/>
      <c r="H30" s="15"/>
    </row>
    <row r="31" customFormat="false" ht="21.75" hidden="false" customHeight="true" outlineLevel="0" collapsed="false">
      <c r="A31" s="15" t="n">
        <v>25</v>
      </c>
      <c r="B31" s="15"/>
      <c r="C31" s="15"/>
      <c r="D31" s="20"/>
      <c r="E31" s="20"/>
      <c r="F31" s="32" t="str">
        <f aca="false">IF(OR(D31="",E31=""),IF(D31&lt;&gt;"","작업 중",""),E31-D31)</f>
        <v/>
      </c>
      <c r="G31" s="15"/>
      <c r="H31" s="15"/>
    </row>
    <row r="33" customFormat="false" ht="15" hidden="false" customHeight="true" outlineLevel="0" collapsed="false">
      <c r="A33" s="11" t="s">
        <v>105</v>
      </c>
      <c r="B33" s="11"/>
      <c r="C33" s="11"/>
      <c r="D33" s="33" t="n">
        <f aca="false">COUNTA(D7:D31)</f>
        <v>1</v>
      </c>
      <c r="E33" s="11" t="s">
        <v>106</v>
      </c>
      <c r="F33" s="11"/>
      <c r="G33" s="34" t="n">
        <f aca="false">COUNTIF(F7:F31,"작업 중")</f>
        <v>0</v>
      </c>
    </row>
  </sheetData>
  <mergeCells count="6">
    <mergeCell ref="A1:H1"/>
    <mergeCell ref="A2:H2"/>
    <mergeCell ref="A4:B4"/>
    <mergeCell ref="C4:F4"/>
    <mergeCell ref="A33:C33"/>
    <mergeCell ref="E33:F33"/>
  </mergeCells>
  <conditionalFormatting sqref="F7:F31">
    <cfRule type="expression" priority="2" aboveAverage="0" equalAverage="0" bottom="0" percent="0" rank="0" text="" dxfId="3">
      <formula>F7="작업 중"</formula>
    </cfRule>
  </conditionalFormatting>
  <dataValidations count="1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G7:G31" type="list">
      <formula1>"적정,미확인"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009"/>
    <pageSetUpPr fitToPage="tru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16"/>
  </cols>
  <sheetData>
    <row r="1" customFormat="false" ht="33.75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8" t="s">
        <v>108</v>
      </c>
      <c r="B2" s="8"/>
      <c r="C2" s="8"/>
      <c r="D2" s="8"/>
      <c r="E2" s="8"/>
      <c r="F2" s="8"/>
      <c r="G2" s="8"/>
      <c r="H2" s="8"/>
      <c r="I2" s="8"/>
    </row>
    <row r="4" customFormat="false" ht="27.75" hidden="false" customHeight="true" outlineLevel="0" collapsed="false">
      <c r="A4" s="29" t="s">
        <v>80</v>
      </c>
      <c r="B4" s="11" t="s">
        <v>109</v>
      </c>
      <c r="C4" s="11" t="s">
        <v>41</v>
      </c>
      <c r="D4" s="11" t="s">
        <v>110</v>
      </c>
      <c r="E4" s="11" t="s">
        <v>111</v>
      </c>
      <c r="F4" s="11" t="s">
        <v>112</v>
      </c>
      <c r="G4" s="11" t="s">
        <v>113</v>
      </c>
      <c r="H4" s="11" t="s">
        <v>114</v>
      </c>
      <c r="I4" s="11" t="s">
        <v>115</v>
      </c>
    </row>
    <row r="5" customFormat="false" ht="21.75" hidden="false" customHeight="true" outlineLevel="0" collapsed="false">
      <c r="A5" s="15" t="n">
        <v>1</v>
      </c>
      <c r="B5" s="17" t="s">
        <v>89</v>
      </c>
      <c r="C5" s="17" t="s">
        <v>116</v>
      </c>
      <c r="D5" s="17" t="s">
        <v>117</v>
      </c>
      <c r="E5" s="12" t="s">
        <v>118</v>
      </c>
      <c r="F5" s="12" t="s">
        <v>119</v>
      </c>
      <c r="G5" s="17" t="s">
        <v>100</v>
      </c>
      <c r="H5" s="35" t="s">
        <v>120</v>
      </c>
      <c r="I5" s="15"/>
    </row>
    <row r="6" customFormat="false" ht="21.75" hidden="false" customHeight="true" outlineLevel="0" collapsed="false">
      <c r="A6" s="15" t="n">
        <v>2</v>
      </c>
      <c r="B6" s="15"/>
      <c r="C6" s="15"/>
      <c r="D6" s="15"/>
      <c r="E6" s="36"/>
      <c r="F6" s="26"/>
      <c r="G6" s="15"/>
      <c r="H6" s="37"/>
      <c r="I6" s="15"/>
    </row>
    <row r="7" customFormat="false" ht="21.75" hidden="false" customHeight="true" outlineLevel="0" collapsed="false">
      <c r="A7" s="15" t="n">
        <v>3</v>
      </c>
      <c r="B7" s="15"/>
      <c r="C7" s="15"/>
      <c r="D7" s="15"/>
      <c r="E7" s="36"/>
      <c r="F7" s="26"/>
      <c r="G7" s="15"/>
      <c r="H7" s="37"/>
      <c r="I7" s="15"/>
    </row>
    <row r="8" customFormat="false" ht="21.75" hidden="false" customHeight="true" outlineLevel="0" collapsed="false">
      <c r="A8" s="15" t="n">
        <v>4</v>
      </c>
      <c r="B8" s="15"/>
      <c r="C8" s="15"/>
      <c r="D8" s="15"/>
      <c r="E8" s="36"/>
      <c r="F8" s="26"/>
      <c r="G8" s="15"/>
      <c r="H8" s="37"/>
      <c r="I8" s="15"/>
    </row>
    <row r="9" customFormat="false" ht="21.75" hidden="false" customHeight="true" outlineLevel="0" collapsed="false">
      <c r="A9" s="15" t="n">
        <v>5</v>
      </c>
      <c r="B9" s="15"/>
      <c r="C9" s="15"/>
      <c r="D9" s="15"/>
      <c r="E9" s="36"/>
      <c r="F9" s="26"/>
      <c r="G9" s="15"/>
      <c r="H9" s="37"/>
      <c r="I9" s="15"/>
    </row>
    <row r="10" customFormat="false" ht="21.75" hidden="false" customHeight="true" outlineLevel="0" collapsed="false">
      <c r="A10" s="15" t="n">
        <v>6</v>
      </c>
      <c r="B10" s="15"/>
      <c r="C10" s="15"/>
      <c r="D10" s="15"/>
      <c r="E10" s="36"/>
      <c r="F10" s="26"/>
      <c r="G10" s="15"/>
      <c r="H10" s="37"/>
      <c r="I10" s="15"/>
    </row>
    <row r="11" customFormat="false" ht="21.75" hidden="false" customHeight="true" outlineLevel="0" collapsed="false">
      <c r="A11" s="15" t="n">
        <v>7</v>
      </c>
      <c r="B11" s="15"/>
      <c r="C11" s="15"/>
      <c r="D11" s="15"/>
      <c r="E11" s="36"/>
      <c r="F11" s="26"/>
      <c r="G11" s="15"/>
      <c r="H11" s="37"/>
      <c r="I11" s="15"/>
    </row>
    <row r="12" customFormat="false" ht="21.75" hidden="false" customHeight="true" outlineLevel="0" collapsed="false">
      <c r="A12" s="15" t="n">
        <v>8</v>
      </c>
      <c r="B12" s="15"/>
      <c r="C12" s="15"/>
      <c r="D12" s="15"/>
      <c r="E12" s="36"/>
      <c r="F12" s="26"/>
      <c r="G12" s="15"/>
      <c r="H12" s="37"/>
      <c r="I12" s="15"/>
    </row>
    <row r="13" customFormat="false" ht="21.75" hidden="false" customHeight="true" outlineLevel="0" collapsed="false">
      <c r="A13" s="15" t="n">
        <v>9</v>
      </c>
      <c r="B13" s="15"/>
      <c r="C13" s="15"/>
      <c r="D13" s="15"/>
      <c r="E13" s="36"/>
      <c r="F13" s="26"/>
      <c r="G13" s="15"/>
      <c r="H13" s="37"/>
      <c r="I13" s="15"/>
    </row>
    <row r="14" customFormat="false" ht="21.75" hidden="false" customHeight="true" outlineLevel="0" collapsed="false">
      <c r="A14" s="15" t="n">
        <v>10</v>
      </c>
      <c r="B14" s="15"/>
      <c r="C14" s="15"/>
      <c r="D14" s="15"/>
      <c r="E14" s="36"/>
      <c r="F14" s="26"/>
      <c r="G14" s="15"/>
      <c r="H14" s="37"/>
      <c r="I14" s="15"/>
    </row>
    <row r="15" customFormat="false" ht="21.75" hidden="false" customHeight="true" outlineLevel="0" collapsed="false">
      <c r="A15" s="15" t="n">
        <v>11</v>
      </c>
      <c r="B15" s="15"/>
      <c r="C15" s="15"/>
      <c r="D15" s="15"/>
      <c r="E15" s="36"/>
      <c r="F15" s="26"/>
      <c r="G15" s="15"/>
      <c r="H15" s="37"/>
      <c r="I15" s="15"/>
    </row>
    <row r="16" customFormat="false" ht="21.75" hidden="false" customHeight="true" outlineLevel="0" collapsed="false">
      <c r="A16" s="15" t="n">
        <v>12</v>
      </c>
      <c r="B16" s="15"/>
      <c r="C16" s="15"/>
      <c r="D16" s="15"/>
      <c r="E16" s="36"/>
      <c r="F16" s="26"/>
      <c r="G16" s="15"/>
      <c r="H16" s="37"/>
      <c r="I16" s="15"/>
    </row>
    <row r="17" customFormat="false" ht="21.75" hidden="false" customHeight="true" outlineLevel="0" collapsed="false">
      <c r="A17" s="15" t="n">
        <v>13</v>
      </c>
      <c r="B17" s="15"/>
      <c r="C17" s="15"/>
      <c r="D17" s="15"/>
      <c r="E17" s="36"/>
      <c r="F17" s="26"/>
      <c r="G17" s="15"/>
      <c r="H17" s="37"/>
      <c r="I17" s="15"/>
    </row>
    <row r="18" customFormat="false" ht="21.75" hidden="false" customHeight="true" outlineLevel="0" collapsed="false">
      <c r="A18" s="15" t="n">
        <v>14</v>
      </c>
      <c r="B18" s="15"/>
      <c r="C18" s="15"/>
      <c r="D18" s="15"/>
      <c r="E18" s="36"/>
      <c r="F18" s="26"/>
      <c r="G18" s="15"/>
      <c r="H18" s="37"/>
      <c r="I18" s="15"/>
    </row>
    <row r="19" customFormat="false" ht="21.75" hidden="false" customHeight="true" outlineLevel="0" collapsed="false">
      <c r="A19" s="15" t="n">
        <v>15</v>
      </c>
      <c r="B19" s="15"/>
      <c r="C19" s="15"/>
      <c r="D19" s="15"/>
      <c r="E19" s="36"/>
      <c r="F19" s="26"/>
      <c r="G19" s="15"/>
      <c r="H19" s="37"/>
      <c r="I19" s="15"/>
    </row>
    <row r="21" customFormat="false" ht="21.75" hidden="false" customHeight="true" outlineLevel="0" collapsed="false">
      <c r="A21" s="38" t="s">
        <v>121</v>
      </c>
      <c r="B21" s="38"/>
      <c r="C21" s="38"/>
      <c r="D21" s="38"/>
      <c r="E21" s="38"/>
      <c r="F21" s="38"/>
      <c r="G21" s="38"/>
      <c r="H21" s="38"/>
      <c r="I21" s="38"/>
    </row>
    <row r="22" customFormat="false" ht="25.5" hidden="false" customHeight="true" outlineLevel="0" collapsed="false">
      <c r="A22" s="29" t="s">
        <v>80</v>
      </c>
      <c r="B22" s="11" t="s">
        <v>122</v>
      </c>
      <c r="C22" s="11" t="s">
        <v>123</v>
      </c>
      <c r="D22" s="11" t="s">
        <v>124</v>
      </c>
      <c r="E22" s="11" t="s">
        <v>125</v>
      </c>
      <c r="F22" s="11" t="s">
        <v>126</v>
      </c>
      <c r="G22" s="11" t="s">
        <v>127</v>
      </c>
      <c r="H22" s="11"/>
      <c r="I22" s="11" t="s">
        <v>128</v>
      </c>
    </row>
    <row r="23" customFormat="false" ht="21.75" hidden="false" customHeight="true" outlineLevel="0" collapsed="false">
      <c r="A23" s="15" t="n">
        <v>1</v>
      </c>
      <c r="B23" s="35" t="s">
        <v>129</v>
      </c>
      <c r="C23" s="17" t="s">
        <v>89</v>
      </c>
      <c r="D23" s="18" t="s">
        <v>130</v>
      </c>
      <c r="E23" s="12" t="s">
        <v>131</v>
      </c>
      <c r="F23" s="12" t="s">
        <v>132</v>
      </c>
      <c r="G23" s="39" t="n">
        <f aca="false">IF(B23="","",EDATE(B23,6))</f>
        <v>46492</v>
      </c>
      <c r="H23" s="39"/>
      <c r="I23" s="15"/>
    </row>
    <row r="24" customFormat="false" ht="21.75" hidden="false" customHeight="true" outlineLevel="0" collapsed="false">
      <c r="A24" s="15" t="n">
        <v>2</v>
      </c>
      <c r="B24" s="37"/>
      <c r="C24" s="15"/>
      <c r="D24" s="15"/>
      <c r="E24" s="26"/>
      <c r="F24" s="26"/>
      <c r="G24" s="39" t="str">
        <f aca="false">IF(B24="","",EDATE(B24,6))</f>
        <v/>
      </c>
      <c r="H24" s="39"/>
      <c r="I24" s="15"/>
    </row>
    <row r="25" customFormat="false" ht="21.75" hidden="false" customHeight="true" outlineLevel="0" collapsed="false">
      <c r="A25" s="15" t="n">
        <v>3</v>
      </c>
      <c r="B25" s="37"/>
      <c r="C25" s="15"/>
      <c r="D25" s="15"/>
      <c r="E25" s="26"/>
      <c r="F25" s="26"/>
      <c r="G25" s="39" t="str">
        <f aca="false">IF(B25="","",EDATE(B25,6))</f>
        <v/>
      </c>
      <c r="H25" s="39"/>
      <c r="I25" s="15"/>
    </row>
    <row r="26" customFormat="false" ht="21.75" hidden="false" customHeight="true" outlineLevel="0" collapsed="false">
      <c r="A26" s="15" t="n">
        <v>4</v>
      </c>
      <c r="B26" s="37"/>
      <c r="C26" s="15"/>
      <c r="D26" s="15"/>
      <c r="E26" s="26"/>
      <c r="F26" s="26"/>
      <c r="G26" s="39" t="str">
        <f aca="false">IF(B26="","",EDATE(B26,6))</f>
        <v/>
      </c>
      <c r="H26" s="39"/>
      <c r="I26" s="15"/>
    </row>
    <row r="27" customFormat="false" ht="21.75" hidden="false" customHeight="true" outlineLevel="0" collapsed="false">
      <c r="A27" s="15" t="n">
        <v>5</v>
      </c>
      <c r="B27" s="37"/>
      <c r="C27" s="15"/>
      <c r="D27" s="15"/>
      <c r="E27" s="26"/>
      <c r="F27" s="26"/>
      <c r="G27" s="39" t="str">
        <f aca="false">IF(B27="","",EDATE(B27,6))</f>
        <v/>
      </c>
      <c r="H27" s="39"/>
      <c r="I27" s="15"/>
    </row>
    <row r="28" customFormat="false" ht="21.75" hidden="false" customHeight="true" outlineLevel="0" collapsed="false">
      <c r="A28" s="15" t="n">
        <v>6</v>
      </c>
      <c r="B28" s="37"/>
      <c r="C28" s="15"/>
      <c r="D28" s="15"/>
      <c r="E28" s="26"/>
      <c r="F28" s="26"/>
      <c r="G28" s="39" t="str">
        <f aca="false">IF(B28="","",EDATE(B28,6))</f>
        <v/>
      </c>
      <c r="H28" s="39"/>
      <c r="I28" s="15"/>
    </row>
    <row r="29" customFormat="false" ht="21.75" hidden="false" customHeight="true" outlineLevel="0" collapsed="false">
      <c r="A29" s="15" t="n">
        <v>7</v>
      </c>
      <c r="B29" s="37"/>
      <c r="C29" s="15"/>
      <c r="D29" s="15"/>
      <c r="E29" s="26"/>
      <c r="F29" s="26"/>
      <c r="G29" s="39" t="str">
        <f aca="false">IF(B29="","",EDATE(B29,6))</f>
        <v/>
      </c>
      <c r="H29" s="39"/>
      <c r="I29" s="15"/>
    </row>
    <row r="30" customFormat="false" ht="21.75" hidden="false" customHeight="true" outlineLevel="0" collapsed="false">
      <c r="A30" s="15" t="n">
        <v>8</v>
      </c>
      <c r="B30" s="37"/>
      <c r="C30" s="15"/>
      <c r="D30" s="15"/>
      <c r="E30" s="26"/>
      <c r="F30" s="26"/>
      <c r="G30" s="39" t="str">
        <f aca="false">IF(B30="","",EDATE(B30,6))</f>
        <v/>
      </c>
      <c r="H30" s="39"/>
      <c r="I30" s="15"/>
    </row>
  </sheetData>
  <mergeCells count="12">
    <mergeCell ref="A1:I1"/>
    <mergeCell ref="A2:I2"/>
    <mergeCell ref="A21:I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</mergeCells>
  <conditionalFormatting sqref="G23:G30">
    <cfRule type="expression" priority="2" aboveAverage="0" equalAverage="0" bottom="0" percent="0" rank="0" text="" dxfId="4">
      <formula>AND(G23&lt;&gt;"",G23&lt;TODAY(),COUNTIF($B$23:$B$30,"&gt;"&amp;B23)=0)</formula>
    </cfRule>
  </conditionalFormatting>
  <dataValidations count="1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E5:E19" type="list">
      <formula1>"산소결핍,황화수소,일산화탄소,이산화탄소,가연성가스,황화수소·산소결핍"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2026-10-27T07:24:43Z</dcterms:created>
  <dc:creator>openpyxl</dc:creator>
  <dc:description/>
  <dc:language>en-US</dc:language>
  <cp:lastModifiedBy/>
  <dcterms:modified xsi:type="dcterms:W3CDTF">2026-10-27T07:24:43Z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