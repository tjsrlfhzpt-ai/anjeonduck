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작성 안내" sheetId="1" state="visible" r:id="rId1"/>
    <sheet xmlns:r="http://schemas.openxmlformats.org/officeDocument/2006/relationships" name="순회점검표" sheetId="2" state="visible" r:id="rId2"/>
    <sheet xmlns:r="http://schemas.openxmlformats.org/officeDocument/2006/relationships" name="지적사항 관리대장" sheetId="3" state="visible" r:id="rId3"/>
  </sheets>
  <definedNames>
    <definedName name="_xlnm.Print_Titles" localSheetId="1">'순회점검표'!$7:$7</definedName>
    <definedName name="_xlnm.Print_Area" localSheetId="1">'순회점검표'!$A$1:$F$37</definedName>
    <definedName name="_xlnm.Print_Titles" localSheetId="2">'지적사항 관리대장'!$5:$5</definedName>
    <definedName name="_xlnm.Print_Area" localSheetId="2">'지적사항 관리대장'!$A$1:$L$41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일&quot;"/>
  </numFmts>
  <fonts count="18">
    <font>
      <name val="Calibri"/>
      <family val="2"/>
      <color theme="1"/>
      <sz val="11"/>
      <scheme val="minor"/>
    </font>
    <font>
      <name val="맑은 고딕"/>
      <b val="1"/>
      <color rgb="0013233A"/>
      <sz val="18"/>
    </font>
    <font>
      <name val="맑은 고딕"/>
      <color rgb="006B7280"/>
      <sz val="9"/>
    </font>
    <font>
      <name val="맑은 고딕"/>
      <b val="1"/>
      <color rgb="001F2937"/>
      <sz val="9"/>
    </font>
    <font>
      <name val="맑은 고딕"/>
      <color rgb="001F2937"/>
      <sz val="9"/>
    </font>
    <font>
      <name val="맑은 고딕"/>
      <b val="1"/>
      <color rgb="0013233A"/>
      <sz val="9.5"/>
    </font>
    <font>
      <name val="맑은 고딕"/>
      <color rgb="001F2937"/>
      <sz val="10"/>
    </font>
    <font>
      <name val="맑은 고딕"/>
      <b val="1"/>
      <color rgb="0013233A"/>
      <sz val="9"/>
    </font>
    <font>
      <name val="맑은 고딕"/>
      <color rgb="001F2937"/>
      <sz val="9.5"/>
    </font>
    <font>
      <name val="맑은 고딕"/>
      <i val="1"/>
      <color rgb="008A94A3"/>
      <sz val="9.5"/>
    </font>
    <font>
      <name val="맑은 고딕"/>
      <b val="1"/>
      <color rgb="001F2937"/>
      <sz val="10"/>
    </font>
    <font>
      <name val="맑은 고딕"/>
      <b val="1"/>
      <color rgb="00D92D20"/>
      <sz val="10"/>
    </font>
    <font>
      <name val="맑은 고딕"/>
      <b val="1"/>
      <color rgb="0013233A"/>
      <sz val="10"/>
    </font>
    <font>
      <name val="맑은 고딕"/>
      <color rgb="006B7280"/>
      <sz val="8.5"/>
    </font>
    <font>
      <name val="맑은 고딕"/>
      <b val="1"/>
      <color rgb="001F2937"/>
      <sz val="11"/>
    </font>
    <font>
      <name val="맑은 고딕"/>
      <b val="1"/>
      <color rgb="00D92D20"/>
      <sz val="11"/>
    </font>
    <font>
      <name val="맑은 고딕"/>
      <b val="1"/>
      <color rgb="0013233A"/>
      <sz val="11"/>
    </font>
    <font>
      <name val="맑은 고딕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7ECF4"/>
        <bgColor rgb="00E7ECF4"/>
      </patternFill>
    </fill>
    <fill>
      <patternFill patternType="solid">
        <fgColor rgb="00F3F5F9"/>
        <bgColor rgb="00F3F5F9"/>
      </patternFill>
    </fill>
  </fills>
  <borders count="5">
    <border>
      <left/>
      <right/>
      <top/>
      <bottom/>
      <diagonal/>
    </border>
    <border>
      <left style="thin">
        <color rgb="008C97A8"/>
      </left>
      <right style="thin">
        <color rgb="008C97A8"/>
      </right>
      <top style="thin">
        <color rgb="008C97A8"/>
      </top>
      <bottom style="thin">
        <color rgb="008C97A8"/>
      </bottom>
    </border>
    <border>
      <left/>
      <right/>
      <top style="thin">
        <color rgb="008C97A8"/>
      </top>
      <bottom/>
      <diagonal/>
    </border>
    <border>
      <left/>
      <right style="thin">
        <color rgb="008C97A8"/>
      </right>
      <top style="thin">
        <color rgb="008C97A8"/>
      </top>
      <bottom/>
      <diagonal/>
    </border>
    <border>
      <left/>
      <right style="thin">
        <color rgb="008C97A8"/>
      </right>
      <top style="thin">
        <color rgb="008C97A8"/>
      </top>
      <bottom style="thin">
        <color rgb="008C97A8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16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164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맑은 고딕"/>
        <b val="1"/>
        <color rgb="00FFFFFF"/>
      </font>
      <fill>
        <patternFill patternType="solid">
          <fgColor rgb="00D92D20"/>
          <bgColor rgb="00D92D20"/>
        </patternFill>
      </fill>
    </dxf>
    <dxf>
      <font>
        <name val="맑은 고딕"/>
        <b val="1"/>
        <color rgb="00B54708"/>
      </font>
      <fill>
        <patternFill patternType="solid">
          <fgColor rgb="00FEF0C7"/>
          <bgColor rgb="00FEF0C7"/>
        </patternFill>
      </fill>
    </dxf>
    <dxf>
      <font>
        <name val="맑은 고딕"/>
        <b val="1"/>
        <color rgb="0005603A"/>
      </font>
      <fill>
        <patternFill patternType="solid">
          <fgColor rgb="00D1FADF"/>
          <bgColor rgb="00D1FADF"/>
        </patternFill>
      </fill>
    </dxf>
    <dxf>
      <font>
        <name val="맑은 고딕"/>
        <b val="1"/>
        <color rgb="00FFFFFF"/>
      </font>
      <fill>
        <patternFill patternType="solid">
          <fgColor rgb="00F79009"/>
          <bgColor rgb="00F7900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8A2B3"/>
    <outlinePr summaryBelow="1" summaryRight="1"/>
    <pageSetUpPr fitToPage="1"/>
  </sheetPr>
  <dimension ref="A1:B15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34" customHeight="1">
      <c r="A1" s="1" t="inlineStr">
        <is>
          <t>순회점검표·지적사항 관리대장 — 작성 안내</t>
        </is>
      </c>
    </row>
    <row r="2" ht="18" customHeight="1">
      <c r="A2" s="2" t="inlineStr">
        <is>
          <t>SafePlum 무료 양식 · safeplum.com — 사업장 사정에 맞게 고쳐 쓰세요</t>
        </is>
      </c>
    </row>
    <row r="4">
      <c r="A4" s="3" t="inlineStr">
        <is>
          <t>■</t>
        </is>
      </c>
      <c r="B4" s="4" t="inlineStr">
        <is>
          <t>순회점검표</t>
        </is>
      </c>
    </row>
    <row r="5" ht="18" customHeight="1">
      <c r="B5" s="5" t="inlineStr">
        <is>
          <t>점검 항목은 일반 작업장 공통 예시입니다. 업종·구역에 맞게 항목을 고치고 '추가 항목' 줄을 쓰세요.</t>
        </is>
      </c>
    </row>
    <row r="6" ht="18" customHeight="1">
      <c r="B6" s="5" t="inlineStr">
        <is>
          <t>결과는 양호·불량·해당 없음·미확인 중에서 고릅니다. 비어 있거나 미확인인 항목 수가 아래에 표시됩니다.</t>
        </is>
      </c>
    </row>
    <row r="8">
      <c r="A8" s="3" t="inlineStr">
        <is>
          <t>■</t>
        </is>
      </c>
      <c r="B8" s="4" t="inlineStr">
        <is>
          <t>지적사항 관리대장</t>
        </is>
      </c>
    </row>
    <row r="9" ht="18" customHeight="1">
      <c r="B9" s="5" t="inlineStr">
        <is>
          <t>불량 항목을 한 줄씩 옮겨 담당·조치 기한을 정합니다. 완료일을 넣으면 상태가 '완료'로 바뀝니다.</t>
        </is>
      </c>
    </row>
    <row r="10" ht="32" customHeight="1">
      <c r="B10" s="5" t="inlineStr">
        <is>
          <t>완료 증빙(사진)은 SafePlum 개선 전·후 사진대지(safeplum.com/tools/improve/)로 함께 보관하면 편합니다.</t>
        </is>
      </c>
    </row>
    <row r="12">
      <c r="A12" s="3" t="inlineStr">
        <is>
          <t>■</t>
        </is>
      </c>
      <c r="B12" s="4" t="inlineStr">
        <is>
          <t>도급 사업장이라면</t>
        </is>
      </c>
    </row>
    <row r="13" ht="32" customHeight="1">
      <c r="B13" s="5" t="inlineStr">
        <is>
          <t>도급인은 작업장 순회점검을 해야 합니다(산업안전보건법 제64조제1항제2호, 시행규칙 제80조: 건설업 등은 2일에 1회 이상, 그 밖의 사업은 1주일에 1회 이상).</t>
        </is>
      </c>
    </row>
    <row r="15" ht="30" customHeight="1">
      <c r="B15" s="6" t="inlineStr">
        <is>
          <t>점검 항목은 실무 예시이며 법정 서식이 아닙니다. 순회점검 주기는 시행규칙 제80조를 사업장 업종에 맞게 확인하세요. 화면으로 작성: safeplum.com/tools/patrol/</t>
        </is>
      </c>
    </row>
  </sheetData>
  <mergeCells count="2">
    <mergeCell ref="A2:B2"/>
    <mergeCell ref="A1:B1"/>
  </mergeCells>
  <printOptions horizontalCentered="1"/>
  <pageMargins left="0.4" right="0.4" top="0.5" bottom="0.55" header="0.2" footer="0.2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13233A"/>
    <outlinePr summaryBelow="1" summaryRight="1"/>
    <pageSetUpPr fitToPage="1"/>
  </sheetPr>
  <dimension ref="A1:F37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4" customWidth="1" min="3" max="3"/>
    <col width="9" customWidth="1" min="4" max="4"/>
    <col width="15" customWidth="1" min="5" max="5"/>
    <col width="15" customWidth="1" min="6" max="6"/>
  </cols>
  <sheetData>
    <row r="1" ht="18" customHeight="1">
      <c r="A1" s="1" t="inlineStr">
        <is>
          <t>작업장 순회점검표</t>
        </is>
      </c>
      <c r="D1" s="7" t="inlineStr">
        <is>
          <t>결
재</t>
        </is>
      </c>
      <c r="E1" s="7" t="inlineStr">
        <is>
          <t>점검자</t>
        </is>
      </c>
      <c r="F1" s="7" t="inlineStr">
        <is>
          <t>확인</t>
        </is>
      </c>
    </row>
    <row r="2" ht="30" customHeight="1">
      <c r="A2" s="2" t="inlineStr">
        <is>
          <t>구역마다 항목을 점검하고 결과를 고르세요. 불량은 '지적사항 관리대장'에 옮겨 담당·기한을 정합니다.</t>
        </is>
      </c>
      <c r="D2" s="7" t="n"/>
      <c r="E2" s="8" t="n"/>
      <c r="F2" s="8" t="n"/>
    </row>
    <row r="4" ht="26" customHeight="1">
      <c r="A4" s="9" t="inlineStr">
        <is>
          <t>점검일</t>
        </is>
      </c>
      <c r="B4" s="9" t="n"/>
      <c r="C4" s="10" t="n"/>
      <c r="D4" s="11" t="inlineStr">
        <is>
          <t>구역·공정</t>
        </is>
      </c>
      <c r="E4" s="12" t="n"/>
      <c r="F4" s="12" t="n"/>
    </row>
    <row r="5" ht="26" customHeight="1">
      <c r="A5" s="9" t="inlineStr">
        <is>
          <t>점검자</t>
        </is>
      </c>
      <c r="B5" s="9" t="n"/>
      <c r="C5" s="12" t="n"/>
      <c r="D5" s="11" t="inlineStr">
        <is>
          <t>동행자·협력업체</t>
        </is>
      </c>
      <c r="E5" s="12" t="n"/>
      <c r="F5" s="12" t="n"/>
    </row>
    <row r="7" ht="26" customHeight="1">
      <c r="A7" s="9" t="inlineStr">
        <is>
          <t>No</t>
        </is>
      </c>
      <c r="B7" s="9" t="inlineStr">
        <is>
          <t>분류</t>
        </is>
      </c>
      <c r="C7" s="9" t="inlineStr">
        <is>
          <t>점검 항목</t>
        </is>
      </c>
      <c r="D7" s="9" t="inlineStr">
        <is>
          <t>결과</t>
        </is>
      </c>
      <c r="E7" s="9" t="inlineStr">
        <is>
          <t>지적 내용·위치</t>
        </is>
      </c>
      <c r="F7" s="13" t="n"/>
    </row>
    <row r="8" ht="24" customHeight="1">
      <c r="A8" s="14" t="n">
        <v>1</v>
      </c>
      <c r="B8" s="15" t="inlineStr">
        <is>
          <t>정리정돈·통로</t>
        </is>
      </c>
      <c r="C8" s="16" t="inlineStr">
        <is>
          <t>통로·비상구에 적치물이 없고 폭이 확보되어 있다</t>
        </is>
      </c>
      <c r="D8" s="17" t="inlineStr">
        <is>
          <t>양호</t>
        </is>
      </c>
      <c r="E8" s="16" t="n"/>
      <c r="F8" s="13" t="n"/>
    </row>
    <row r="9" ht="24" customHeight="1">
      <c r="A9" s="14" t="n">
        <v>2</v>
      </c>
      <c r="B9" s="14" t="n"/>
      <c r="C9" s="16" t="inlineStr">
        <is>
          <t>바닥에 기름·물·자재가 없어 미끄러지거나 걸려 넘어질 위험이 없다</t>
        </is>
      </c>
      <c r="D9" s="14" t="n"/>
      <c r="E9" s="16" t="n"/>
      <c r="F9" s="13" t="n"/>
    </row>
    <row r="10" ht="24" customHeight="1">
      <c r="A10" s="14" t="n">
        <v>3</v>
      </c>
      <c r="B10" s="14" t="n"/>
      <c r="C10" s="16" t="inlineStr">
        <is>
          <t>자재는 무너지지 않게 정해진 높이로 쌓여 있다</t>
        </is>
      </c>
      <c r="D10" s="14" t="n"/>
      <c r="E10" s="16" t="n"/>
      <c r="F10" s="13" t="n"/>
    </row>
    <row r="11" ht="24" customHeight="1">
      <c r="A11" s="14" t="n">
        <v>4</v>
      </c>
      <c r="B11" s="15" t="inlineStr">
        <is>
          <t>추락·개구부</t>
        </is>
      </c>
      <c r="C11" s="16" t="inlineStr">
        <is>
          <t>개구부·단부에 안전난간 또는 덮개가 있다</t>
        </is>
      </c>
      <c r="D11" s="14" t="n"/>
      <c r="E11" s="16" t="n"/>
      <c r="F11" s="13" t="n"/>
    </row>
    <row r="12" ht="24" customHeight="1">
      <c r="A12" s="14" t="n">
        <v>5</v>
      </c>
      <c r="B12" s="14" t="n"/>
      <c r="C12" s="16" t="inlineStr">
        <is>
          <t>사다리는 미끄럼 방지·고정 상태가 양호하다</t>
        </is>
      </c>
      <c r="D12" s="14" t="n"/>
      <c r="E12" s="16" t="n"/>
      <c r="F12" s="13" t="n"/>
    </row>
    <row r="13" ht="24" customHeight="1">
      <c r="A13" s="14" t="n">
        <v>6</v>
      </c>
      <c r="B13" s="14" t="n"/>
      <c r="C13" s="16" t="inlineStr">
        <is>
          <t>2m 이상 고소작업 시 안전대를 걸고 작업한다</t>
        </is>
      </c>
      <c r="D13" s="14" t="n"/>
      <c r="E13" s="16" t="n"/>
      <c r="F13" s="13" t="n"/>
    </row>
    <row r="14" ht="24" customHeight="1">
      <c r="A14" s="14" t="n">
        <v>7</v>
      </c>
      <c r="B14" s="15" t="inlineStr">
        <is>
          <t>전기</t>
        </is>
      </c>
      <c r="C14" s="16" t="inlineStr">
        <is>
          <t>분전반 문이 닫혀 있고 표지·잠금이 되어 있다</t>
        </is>
      </c>
      <c r="D14" s="14" t="n"/>
      <c r="E14" s="16" t="n"/>
      <c r="F14" s="13" t="n"/>
    </row>
    <row r="15" ht="24" customHeight="1">
      <c r="A15" s="14" t="n">
        <v>8</v>
      </c>
      <c r="B15" s="14" t="n"/>
      <c r="C15" s="16" t="inlineStr">
        <is>
          <t>누전차단기가 작동하고 이동 전선 피복 손상이 없다</t>
        </is>
      </c>
      <c r="D15" s="14" t="n"/>
      <c r="E15" s="16" t="n"/>
      <c r="F15" s="13" t="n"/>
    </row>
    <row r="16" ht="24" customHeight="1">
      <c r="A16" s="14" t="n">
        <v>9</v>
      </c>
      <c r="B16" s="14" t="n"/>
      <c r="C16" s="16" t="inlineStr">
        <is>
          <t>임시 배선이 통로를 가로지르지 않거나 보호되어 있다</t>
        </is>
      </c>
      <c r="D16" s="14" t="n"/>
      <c r="E16" s="16" t="n"/>
      <c r="F16" s="13" t="n"/>
    </row>
    <row r="17" ht="24" customHeight="1">
      <c r="A17" s="14" t="n">
        <v>10</v>
      </c>
      <c r="B17" s="15" t="inlineStr">
        <is>
          <t>화재·화기</t>
        </is>
      </c>
      <c r="C17" s="16" t="inlineStr">
        <is>
          <t>소화기가 정해진 위치에 있고 압력이 정상이다</t>
        </is>
      </c>
      <c r="D17" s="14" t="n"/>
      <c r="E17" s="16" t="n"/>
      <c r="F17" s="13" t="n"/>
    </row>
    <row r="18" ht="24" customHeight="1">
      <c r="A18" s="14" t="n">
        <v>11</v>
      </c>
      <c r="B18" s="14" t="n"/>
      <c r="C18" s="16" t="inlineStr">
        <is>
          <t>화기작업은 허가서·불티 방지 조치·화재감시자가 있다</t>
        </is>
      </c>
      <c r="D18" s="14" t="n"/>
      <c r="E18" s="16" t="n"/>
      <c r="F18" s="13" t="n"/>
    </row>
    <row r="19" ht="24" customHeight="1">
      <c r="A19" s="14" t="n">
        <v>12</v>
      </c>
      <c r="B19" s="14" t="n"/>
      <c r="C19" s="16" t="inlineStr">
        <is>
          <t>인화성 물질이 화기 주변에 없다</t>
        </is>
      </c>
      <c r="D19" s="14" t="n"/>
      <c r="E19" s="16" t="n"/>
      <c r="F19" s="13" t="n"/>
    </row>
    <row r="20" ht="24" customHeight="1">
      <c r="A20" s="14" t="n">
        <v>13</v>
      </c>
      <c r="B20" s="15" t="inlineStr">
        <is>
          <t>기계·설비</t>
        </is>
      </c>
      <c r="C20" s="16" t="inlineStr">
        <is>
          <t>회전·끼임 부위에 방호덮개가 있다</t>
        </is>
      </c>
      <c r="D20" s="14" t="n"/>
      <c r="E20" s="16" t="n"/>
      <c r="F20" s="13" t="n"/>
    </row>
    <row r="21" ht="24" customHeight="1">
      <c r="A21" s="14" t="n">
        <v>14</v>
      </c>
      <c r="B21" s="14" t="n"/>
      <c r="C21" s="16" t="inlineStr">
        <is>
          <t>정비·청소 시 전원 차단과 잠금·표지(LOTO)를 한다</t>
        </is>
      </c>
      <c r="D21" s="14" t="n"/>
      <c r="E21" s="16" t="n"/>
      <c r="F21" s="13" t="n"/>
    </row>
    <row r="22" ht="24" customHeight="1">
      <c r="A22" s="14" t="n">
        <v>15</v>
      </c>
      <c r="B22" s="14" t="n"/>
      <c r="C22" s="16" t="inlineStr">
        <is>
          <t>비상정지 장치가 작동한다</t>
        </is>
      </c>
      <c r="D22" s="14" t="n"/>
      <c r="E22" s="16" t="n"/>
      <c r="F22" s="13" t="n"/>
    </row>
    <row r="23" ht="24" customHeight="1">
      <c r="A23" s="14" t="n">
        <v>16</v>
      </c>
      <c r="B23" s="15" t="inlineStr">
        <is>
          <t>하역·운반</t>
        </is>
      </c>
      <c r="C23" s="16" t="inlineStr">
        <is>
          <t>지게차 통로와 보행 통로가 구분되어 있다</t>
        </is>
      </c>
      <c r="D23" s="14" t="n"/>
      <c r="E23" s="16" t="n"/>
      <c r="F23" s="13" t="n"/>
    </row>
    <row r="24" ht="24" customHeight="1">
      <c r="A24" s="14" t="n">
        <v>17</v>
      </c>
      <c r="B24" s="14" t="n"/>
      <c r="C24" s="16" t="inlineStr">
        <is>
          <t>지게차 작업 전 점검을 하고 유자격자가 운전한다</t>
        </is>
      </c>
      <c r="D24" s="14" t="n"/>
      <c r="E24" s="16" t="n"/>
      <c r="F24" s="13" t="n"/>
    </row>
    <row r="25" ht="24" customHeight="1">
      <c r="A25" s="14" t="n">
        <v>18</v>
      </c>
      <c r="B25" s="14" t="n"/>
      <c r="C25" s="16" t="inlineStr">
        <is>
          <t>중량물은 인양 도구·줄걸이 상태가 양호하다</t>
        </is>
      </c>
      <c r="D25" s="14" t="n"/>
      <c r="E25" s="16" t="n"/>
      <c r="F25" s="13" t="n"/>
    </row>
    <row r="26" ht="24" customHeight="1">
      <c r="A26" s="14" t="n">
        <v>19</v>
      </c>
      <c r="B26" s="15" t="inlineStr">
        <is>
          <t>보호구·화학물질</t>
        </is>
      </c>
      <c r="C26" s="16" t="inlineStr">
        <is>
          <t>작업에 맞는 보호구를 지급하고 착용한다</t>
        </is>
      </c>
      <c r="D26" s="14" t="n"/>
      <c r="E26" s="16" t="n"/>
      <c r="F26" s="13" t="n"/>
    </row>
    <row r="27" ht="24" customHeight="1">
      <c r="A27" s="14" t="n">
        <v>20</v>
      </c>
      <c r="B27" s="14" t="n"/>
      <c r="C27" s="16" t="inlineStr">
        <is>
          <t>화학물질 용기에 경고표지가 있고 MSDS가 게시되어 있다</t>
        </is>
      </c>
      <c r="D27" s="14" t="n"/>
      <c r="E27" s="16" t="n"/>
      <c r="F27" s="13" t="n"/>
    </row>
    <row r="28" ht="24" customHeight="1">
      <c r="A28" s="14" t="n">
        <v>21</v>
      </c>
      <c r="B28" s="14" t="n"/>
      <c r="C28" s="16" t="inlineStr">
        <is>
          <t>국소배기장치가 작동한다</t>
        </is>
      </c>
      <c r="D28" s="14" t="n"/>
      <c r="E28" s="16" t="n"/>
      <c r="F28" s="13" t="n"/>
    </row>
    <row r="29" ht="24" customHeight="1">
      <c r="A29" s="14" t="n">
        <v>22</v>
      </c>
      <c r="B29" s="18" t="inlineStr">
        <is>
          <t>추가 항목</t>
        </is>
      </c>
      <c r="C29" s="16" t="n"/>
      <c r="D29" s="14" t="n"/>
      <c r="E29" s="14" t="n"/>
      <c r="F29" s="13" t="n"/>
    </row>
    <row r="30" ht="24" customHeight="1">
      <c r="A30" s="14" t="n">
        <v>23</v>
      </c>
      <c r="B30" s="18" t="inlineStr">
        <is>
          <t>추가 항목</t>
        </is>
      </c>
      <c r="C30" s="16" t="n"/>
      <c r="D30" s="14" t="n"/>
      <c r="E30" s="14" t="n"/>
      <c r="F30" s="13" t="n"/>
    </row>
    <row r="32">
      <c r="A32" s="9" t="inlineStr">
        <is>
          <t>양호</t>
        </is>
      </c>
      <c r="B32" s="9" t="n"/>
      <c r="C32" s="19">
        <f>COUNTIF($D$8:$D$30,"양호")&amp;"건"</f>
        <v/>
      </c>
      <c r="D32" s="20">
        <f>IF(COUNTIF($D$8:$D$30,"미확인")+COUNTBLANK($D$8:$D$30)&gt;0,"미확인·빈 항목 "&amp;(COUNTIF($D$8:$D$30,"미확인")+COUNTBLANK($D$8:$D$30))&amp;"건 — 확인 필요","모든 항목 확인 완료")</f>
        <v/>
      </c>
      <c r="E32" s="20" t="n"/>
      <c r="F32" s="20" t="n"/>
    </row>
    <row r="33">
      <c r="A33" s="9" t="inlineStr">
        <is>
          <t>불량</t>
        </is>
      </c>
      <c r="B33" s="9" t="n"/>
      <c r="C33" s="21">
        <f>COUNTIF($D$8:$D$30,"불량")&amp;"건"</f>
        <v/>
      </c>
      <c r="D33" s="20" t="n"/>
      <c r="E33" s="20" t="n"/>
      <c r="F33" s="20" t="n"/>
    </row>
    <row r="34">
      <c r="A34" s="9" t="inlineStr">
        <is>
          <t>해당 없음</t>
        </is>
      </c>
      <c r="B34" s="9" t="n"/>
      <c r="C34" s="19">
        <f>COUNTIF($D$8:$D$30,"해당 없음")&amp;"건"</f>
        <v/>
      </c>
      <c r="D34" s="20" t="n"/>
      <c r="E34" s="20" t="n"/>
      <c r="F34" s="20" t="n"/>
    </row>
    <row r="35">
      <c r="A35" s="9" t="inlineStr">
        <is>
          <t>미확인</t>
        </is>
      </c>
      <c r="B35" s="9" t="n"/>
      <c r="C35" s="19">
        <f>COUNTIF($D$8:$D$30,"미확인")&amp;"건"</f>
        <v/>
      </c>
      <c r="D35" s="20" t="n"/>
      <c r="E35" s="20" t="n"/>
      <c r="F35" s="20" t="n"/>
    </row>
    <row r="37" ht="16" customHeight="1">
      <c r="A37" s="22" t="inlineStr">
        <is>
          <t>흰 칸에 입력 · 회색 기울임 글씨는 예시(지우고 쓰기) · 색이 있는 칸은 자동 계산</t>
        </is>
      </c>
    </row>
  </sheetData>
  <mergeCells count="44">
    <mergeCell ref="E12:F12"/>
    <mergeCell ref="E24:F24"/>
    <mergeCell ref="A37:F37"/>
    <mergeCell ref="E5:F5"/>
    <mergeCell ref="E23:F23"/>
    <mergeCell ref="E14:F14"/>
    <mergeCell ref="E17:F17"/>
    <mergeCell ref="E8:F8"/>
    <mergeCell ref="A2:C2"/>
    <mergeCell ref="E4:F4"/>
    <mergeCell ref="E20:F20"/>
    <mergeCell ref="E29:F29"/>
    <mergeCell ref="E10:F10"/>
    <mergeCell ref="B20:B22"/>
    <mergeCell ref="B26:B28"/>
    <mergeCell ref="E19:F19"/>
    <mergeCell ref="E28:F28"/>
    <mergeCell ref="E13:F13"/>
    <mergeCell ref="E9:F9"/>
    <mergeCell ref="A34:B34"/>
    <mergeCell ref="E30:F30"/>
    <mergeCell ref="E15:F15"/>
    <mergeCell ref="A33:B33"/>
    <mergeCell ref="E11:F11"/>
    <mergeCell ref="A5:B5"/>
    <mergeCell ref="E27:F27"/>
    <mergeCell ref="A32:B32"/>
    <mergeCell ref="B11:B13"/>
    <mergeCell ref="B8:B10"/>
    <mergeCell ref="E26:F26"/>
    <mergeCell ref="A35:B35"/>
    <mergeCell ref="A4:B4"/>
    <mergeCell ref="B17:B19"/>
    <mergeCell ref="B23:B25"/>
    <mergeCell ref="E16:F16"/>
    <mergeCell ref="D32:F35"/>
    <mergeCell ref="A1:C1"/>
    <mergeCell ref="E7:F7"/>
    <mergeCell ref="E25:F25"/>
    <mergeCell ref="B14:B16"/>
    <mergeCell ref="D1:D2"/>
    <mergeCell ref="E22:F22"/>
    <mergeCell ref="E18:F18"/>
    <mergeCell ref="E21:F21"/>
  </mergeCells>
  <conditionalFormatting sqref="D8:D30">
    <cfRule type="expression" priority="1" dxfId="0">
      <formula>ISNUMBER(SEARCH("불량",D8))</formula>
    </cfRule>
    <cfRule type="expression" priority="2" dxfId="1">
      <formula>ISNUMBER(SEARCH("미확인",D8))</formula>
    </cfRule>
    <cfRule type="expression" priority="3" dxfId="2">
      <formula>ISNUMBER(SEARCH("양호",D8))</formula>
    </cfRule>
  </conditionalFormatting>
  <dataValidations count="2">
    <dataValidation sqref="C4" showDropDown="0" showInputMessage="0" showErrorMessage="1" allowBlank="1" errorTitle="날짜 확인" error="날짜로 넣으세요(예: 2026-10-27)" type="date" operator="greaterThan">
      <formula1>36526</formula1>
    </dataValidation>
    <dataValidation sqref="D8:D30" showDropDown="0" showInputMessage="0" showErrorMessage="0" allowBlank="1" errorTitle="입력 확인" error="목록에서 고르세요(목록을 바꾸려면 [데이터] → [데이터 유효성 검사])" type="list">
      <formula1>"양호,불량,해당 없음,미확인"</formula1>
    </dataValidation>
  </dataValidations>
  <printOptions horizontalCentered="1"/>
  <pageMargins left="0.4" right="0.4" top="0.5" bottom="0.55" header="0.2" footer="0.25"/>
  <pageSetup orientation="portrait" paperSize="9" fitToHeight="1" fitToWidth="1"/>
  <headerFooter>
    <oddHeader/>
    <oddFooter>&amp;C&amp;"맑은 고딕"&amp;8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D92D20"/>
    <outlinePr summaryBelow="1" summaryRight="1"/>
    <pageSetUpPr fitToPage="1"/>
  </sheetPr>
  <dimension ref="A1:L41"/>
  <sheetViews>
    <sheetView showGridLines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32" customWidth="1" min="4" max="4"/>
    <col width="7" customWidth="1" min="5" max="5"/>
    <col width="14" customWidth="1" min="6" max="6"/>
    <col width="11" customWidth="1" min="7" max="7"/>
    <col width="32" customWidth="1" min="8" max="8"/>
    <col width="11" customWidth="1" min="9" max="9"/>
    <col width="14" customWidth="1" min="10" max="10"/>
    <col width="10" customWidth="1" min="11" max="11"/>
    <col width="7" customWidth="1" min="12" max="12"/>
  </cols>
  <sheetData>
    <row r="1" ht="18" customHeight="1">
      <c r="A1" s="1" t="inlineStr">
        <is>
          <t>지적사항 조치 관리대장</t>
        </is>
      </c>
      <c r="J1" s="7" t="inlineStr">
        <is>
          <t>결
재</t>
        </is>
      </c>
      <c r="K1" s="7" t="inlineStr">
        <is>
          <t>담당</t>
        </is>
      </c>
      <c r="L1" s="7" t="inlineStr">
        <is>
          <t>승인</t>
        </is>
      </c>
    </row>
    <row r="2" ht="28" customHeight="1">
      <c r="A2" s="2" t="inlineStr">
        <is>
          <t>상태는 자동: 완료일이 있으면 '완료', 기한이 지나면 '기한 경과', 3일 이내면 '임박'</t>
        </is>
      </c>
      <c r="J2" s="7" t="n"/>
      <c r="K2" s="8" t="n"/>
      <c r="L2" s="8" t="n"/>
    </row>
    <row r="4" ht="16" customHeight="1">
      <c r="A4" s="22" t="inlineStr">
        <is>
          <t>흰 칸에 입력 · 회색 기울임 글씨는 예시(지우고 쓰기) · 색이 있는 칸은 자동 계산</t>
        </is>
      </c>
    </row>
    <row r="5" ht="30" customHeight="1">
      <c r="A5" s="9" t="inlineStr">
        <is>
          <t>No</t>
        </is>
      </c>
      <c r="B5" s="9" t="inlineStr">
        <is>
          <t>점검일</t>
        </is>
      </c>
      <c r="C5" s="9" t="inlineStr">
        <is>
          <t>구역·위치</t>
        </is>
      </c>
      <c r="D5" s="9" t="inlineStr">
        <is>
          <t>지적 내용</t>
        </is>
      </c>
      <c r="E5" s="9" t="inlineStr">
        <is>
          <t>위험도</t>
        </is>
      </c>
      <c r="F5" s="9" t="inlineStr">
        <is>
          <t>조치 부서·담당</t>
        </is>
      </c>
      <c r="G5" s="9" t="inlineStr">
        <is>
          <t>조치 기한</t>
        </is>
      </c>
      <c r="H5" s="9" t="inlineStr">
        <is>
          <t>조치 내용</t>
        </is>
      </c>
      <c r="I5" s="9" t="inlineStr">
        <is>
          <t>완료일</t>
        </is>
      </c>
      <c r="J5" s="9" t="inlineStr">
        <is>
          <t>완료 증빙
(사진 번호 등)</t>
        </is>
      </c>
      <c r="K5" s="9" t="inlineStr">
        <is>
          <t>상태</t>
        </is>
      </c>
      <c r="L5" s="9" t="inlineStr">
        <is>
          <t>경과일</t>
        </is>
      </c>
    </row>
    <row r="6" ht="25" customHeight="1">
      <c r="A6" s="14" t="n">
        <v>1</v>
      </c>
      <c r="B6" s="23" t="inlineStr">
        <is>
          <t>2026-10-27</t>
        </is>
      </c>
      <c r="C6" s="17" t="inlineStr">
        <is>
          <t>가공동 통로</t>
        </is>
      </c>
      <c r="D6" s="24" t="inlineStr">
        <is>
          <t>통로에 팔레트가 쌓여 지게차·보행자 동선이 겹침</t>
        </is>
      </c>
      <c r="E6" s="17" t="inlineStr">
        <is>
          <t>중</t>
        </is>
      </c>
      <c r="F6" s="17" t="inlineStr">
        <is>
          <t>물류팀 ○○○</t>
        </is>
      </c>
      <c r="G6" s="23" t="inlineStr">
        <is>
          <t>2026-10-30</t>
        </is>
      </c>
      <c r="H6" s="24" t="inlineStr">
        <is>
          <t>팔레트 지정 위치로 이동, 바닥 구획선 재도색</t>
        </is>
      </c>
      <c r="I6" s="23" t="inlineStr">
        <is>
          <t>2026-10-29</t>
        </is>
      </c>
      <c r="J6" s="17" t="inlineStr">
        <is>
          <t>사진 1·2</t>
        </is>
      </c>
      <c r="K6" s="25">
        <f>IF(D6="","",IF(I6&lt;&gt;"","완료",IF(G6="","기한 미정",IF(G6&lt;TODAY(),"기한 경과",IF(G6-TODAY()&lt;=3,"임박","진행 중")))))</f>
        <v/>
      </c>
      <c r="L6" s="26">
        <f>IF(OR(B6="",D6=""),"",IF(I6&lt;&gt;"",I6,TODAY())-B6)</f>
        <v/>
      </c>
    </row>
    <row r="7" ht="25" customHeight="1">
      <c r="A7" s="14" t="n">
        <v>2</v>
      </c>
      <c r="B7" s="27" t="n"/>
      <c r="C7" s="14" t="n"/>
      <c r="D7" s="16" t="n"/>
      <c r="E7" s="14" t="n"/>
      <c r="F7" s="14" t="n"/>
      <c r="G7" s="27" t="n"/>
      <c r="H7" s="16" t="n"/>
      <c r="I7" s="27" t="n"/>
      <c r="J7" s="14" t="n"/>
      <c r="K7" s="25">
        <f>IF(D7="","",IF(I7&lt;&gt;"","완료",IF(G7="","기한 미정",IF(G7&lt;TODAY(),"기한 경과",IF(G7-TODAY()&lt;=3,"임박","진행 중")))))</f>
        <v/>
      </c>
      <c r="L7" s="26">
        <f>IF(OR(B7="",D7=""),"",IF(I7&lt;&gt;"",I7,TODAY())-B7)</f>
        <v/>
      </c>
    </row>
    <row r="8" ht="25" customHeight="1">
      <c r="A8" s="14" t="n">
        <v>3</v>
      </c>
      <c r="B8" s="27" t="n"/>
      <c r="C8" s="14" t="n"/>
      <c r="D8" s="16" t="n"/>
      <c r="E8" s="14" t="n"/>
      <c r="F8" s="14" t="n"/>
      <c r="G8" s="27" t="n"/>
      <c r="H8" s="16" t="n"/>
      <c r="I8" s="27" t="n"/>
      <c r="J8" s="14" t="n"/>
      <c r="K8" s="25">
        <f>IF(D8="","",IF(I8&lt;&gt;"","완료",IF(G8="","기한 미정",IF(G8&lt;TODAY(),"기한 경과",IF(G8-TODAY()&lt;=3,"임박","진행 중")))))</f>
        <v/>
      </c>
      <c r="L8" s="26">
        <f>IF(OR(B8="",D8=""),"",IF(I8&lt;&gt;"",I8,TODAY())-B8)</f>
        <v/>
      </c>
    </row>
    <row r="9" ht="25" customHeight="1">
      <c r="A9" s="14" t="n">
        <v>4</v>
      </c>
      <c r="B9" s="27" t="n"/>
      <c r="C9" s="14" t="n"/>
      <c r="D9" s="16" t="n"/>
      <c r="E9" s="14" t="n"/>
      <c r="F9" s="14" t="n"/>
      <c r="G9" s="27" t="n"/>
      <c r="H9" s="16" t="n"/>
      <c r="I9" s="27" t="n"/>
      <c r="J9" s="14" t="n"/>
      <c r="K9" s="25">
        <f>IF(D9="","",IF(I9&lt;&gt;"","완료",IF(G9="","기한 미정",IF(G9&lt;TODAY(),"기한 경과",IF(G9-TODAY()&lt;=3,"임박","진행 중")))))</f>
        <v/>
      </c>
      <c r="L9" s="26">
        <f>IF(OR(B9="",D9=""),"",IF(I9&lt;&gt;"",I9,TODAY())-B9)</f>
        <v/>
      </c>
    </row>
    <row r="10" ht="25" customHeight="1">
      <c r="A10" s="14" t="n">
        <v>5</v>
      </c>
      <c r="B10" s="27" t="n"/>
      <c r="C10" s="14" t="n"/>
      <c r="D10" s="16" t="n"/>
      <c r="E10" s="14" t="n"/>
      <c r="F10" s="14" t="n"/>
      <c r="G10" s="27" t="n"/>
      <c r="H10" s="16" t="n"/>
      <c r="I10" s="27" t="n"/>
      <c r="J10" s="14" t="n"/>
      <c r="K10" s="25">
        <f>IF(D10="","",IF(I10&lt;&gt;"","완료",IF(G10="","기한 미정",IF(G10&lt;TODAY(),"기한 경과",IF(G10-TODAY()&lt;=3,"임박","진행 중")))))</f>
        <v/>
      </c>
      <c r="L10" s="26">
        <f>IF(OR(B10="",D10=""),"",IF(I10&lt;&gt;"",I10,TODAY())-B10)</f>
        <v/>
      </c>
    </row>
    <row r="11" ht="25" customHeight="1">
      <c r="A11" s="14" t="n">
        <v>6</v>
      </c>
      <c r="B11" s="27" t="n"/>
      <c r="C11" s="14" t="n"/>
      <c r="D11" s="16" t="n"/>
      <c r="E11" s="14" t="n"/>
      <c r="F11" s="14" t="n"/>
      <c r="G11" s="27" t="n"/>
      <c r="H11" s="16" t="n"/>
      <c r="I11" s="27" t="n"/>
      <c r="J11" s="14" t="n"/>
      <c r="K11" s="25">
        <f>IF(D11="","",IF(I11&lt;&gt;"","완료",IF(G11="","기한 미정",IF(G11&lt;TODAY(),"기한 경과",IF(G11-TODAY()&lt;=3,"임박","진행 중")))))</f>
        <v/>
      </c>
      <c r="L11" s="26">
        <f>IF(OR(B11="",D11=""),"",IF(I11&lt;&gt;"",I11,TODAY())-B11)</f>
        <v/>
      </c>
    </row>
    <row r="12" ht="25" customHeight="1">
      <c r="A12" s="14" t="n">
        <v>7</v>
      </c>
      <c r="B12" s="27" t="n"/>
      <c r="C12" s="14" t="n"/>
      <c r="D12" s="16" t="n"/>
      <c r="E12" s="14" t="n"/>
      <c r="F12" s="14" t="n"/>
      <c r="G12" s="27" t="n"/>
      <c r="H12" s="16" t="n"/>
      <c r="I12" s="27" t="n"/>
      <c r="J12" s="14" t="n"/>
      <c r="K12" s="25">
        <f>IF(D12="","",IF(I12&lt;&gt;"","완료",IF(G12="","기한 미정",IF(G12&lt;TODAY(),"기한 경과",IF(G12-TODAY()&lt;=3,"임박","진행 중")))))</f>
        <v/>
      </c>
      <c r="L12" s="26">
        <f>IF(OR(B12="",D12=""),"",IF(I12&lt;&gt;"",I12,TODAY())-B12)</f>
        <v/>
      </c>
    </row>
    <row r="13" ht="25" customHeight="1">
      <c r="A13" s="14" t="n">
        <v>8</v>
      </c>
      <c r="B13" s="27" t="n"/>
      <c r="C13" s="14" t="n"/>
      <c r="D13" s="16" t="n"/>
      <c r="E13" s="14" t="n"/>
      <c r="F13" s="14" t="n"/>
      <c r="G13" s="27" t="n"/>
      <c r="H13" s="16" t="n"/>
      <c r="I13" s="27" t="n"/>
      <c r="J13" s="14" t="n"/>
      <c r="K13" s="25">
        <f>IF(D13="","",IF(I13&lt;&gt;"","완료",IF(G13="","기한 미정",IF(G13&lt;TODAY(),"기한 경과",IF(G13-TODAY()&lt;=3,"임박","진행 중")))))</f>
        <v/>
      </c>
      <c r="L13" s="26">
        <f>IF(OR(B13="",D13=""),"",IF(I13&lt;&gt;"",I13,TODAY())-B13)</f>
        <v/>
      </c>
    </row>
    <row r="14" ht="25" customHeight="1">
      <c r="A14" s="14" t="n">
        <v>9</v>
      </c>
      <c r="B14" s="27" t="n"/>
      <c r="C14" s="14" t="n"/>
      <c r="D14" s="16" t="n"/>
      <c r="E14" s="14" t="n"/>
      <c r="F14" s="14" t="n"/>
      <c r="G14" s="27" t="n"/>
      <c r="H14" s="16" t="n"/>
      <c r="I14" s="27" t="n"/>
      <c r="J14" s="14" t="n"/>
      <c r="K14" s="25">
        <f>IF(D14="","",IF(I14&lt;&gt;"","완료",IF(G14="","기한 미정",IF(G14&lt;TODAY(),"기한 경과",IF(G14-TODAY()&lt;=3,"임박","진행 중")))))</f>
        <v/>
      </c>
      <c r="L14" s="26">
        <f>IF(OR(B14="",D14=""),"",IF(I14&lt;&gt;"",I14,TODAY())-B14)</f>
        <v/>
      </c>
    </row>
    <row r="15" ht="25" customHeight="1">
      <c r="A15" s="14" t="n">
        <v>10</v>
      </c>
      <c r="B15" s="27" t="n"/>
      <c r="C15" s="14" t="n"/>
      <c r="D15" s="16" t="n"/>
      <c r="E15" s="14" t="n"/>
      <c r="F15" s="14" t="n"/>
      <c r="G15" s="27" t="n"/>
      <c r="H15" s="16" t="n"/>
      <c r="I15" s="27" t="n"/>
      <c r="J15" s="14" t="n"/>
      <c r="K15" s="25">
        <f>IF(D15="","",IF(I15&lt;&gt;"","완료",IF(G15="","기한 미정",IF(G15&lt;TODAY(),"기한 경과",IF(G15-TODAY()&lt;=3,"임박","진행 중")))))</f>
        <v/>
      </c>
      <c r="L15" s="26">
        <f>IF(OR(B15="",D15=""),"",IF(I15&lt;&gt;"",I15,TODAY())-B15)</f>
        <v/>
      </c>
    </row>
    <row r="16" ht="25" customHeight="1">
      <c r="A16" s="14" t="n">
        <v>11</v>
      </c>
      <c r="B16" s="27" t="n"/>
      <c r="C16" s="14" t="n"/>
      <c r="D16" s="16" t="n"/>
      <c r="E16" s="14" t="n"/>
      <c r="F16" s="14" t="n"/>
      <c r="G16" s="27" t="n"/>
      <c r="H16" s="16" t="n"/>
      <c r="I16" s="27" t="n"/>
      <c r="J16" s="14" t="n"/>
      <c r="K16" s="25">
        <f>IF(D16="","",IF(I16&lt;&gt;"","완료",IF(G16="","기한 미정",IF(G16&lt;TODAY(),"기한 경과",IF(G16-TODAY()&lt;=3,"임박","진행 중")))))</f>
        <v/>
      </c>
      <c r="L16" s="26">
        <f>IF(OR(B16="",D16=""),"",IF(I16&lt;&gt;"",I16,TODAY())-B16)</f>
        <v/>
      </c>
    </row>
    <row r="17" ht="25" customHeight="1">
      <c r="A17" s="14" t="n">
        <v>12</v>
      </c>
      <c r="B17" s="27" t="n"/>
      <c r="C17" s="14" t="n"/>
      <c r="D17" s="16" t="n"/>
      <c r="E17" s="14" t="n"/>
      <c r="F17" s="14" t="n"/>
      <c r="G17" s="27" t="n"/>
      <c r="H17" s="16" t="n"/>
      <c r="I17" s="27" t="n"/>
      <c r="J17" s="14" t="n"/>
      <c r="K17" s="25">
        <f>IF(D17="","",IF(I17&lt;&gt;"","완료",IF(G17="","기한 미정",IF(G17&lt;TODAY(),"기한 경과",IF(G17-TODAY()&lt;=3,"임박","진행 중")))))</f>
        <v/>
      </c>
      <c r="L17" s="26">
        <f>IF(OR(B17="",D17=""),"",IF(I17&lt;&gt;"",I17,TODAY())-B17)</f>
        <v/>
      </c>
    </row>
    <row r="18" ht="25" customHeight="1">
      <c r="A18" s="14" t="n">
        <v>13</v>
      </c>
      <c r="B18" s="27" t="n"/>
      <c r="C18" s="14" t="n"/>
      <c r="D18" s="16" t="n"/>
      <c r="E18" s="14" t="n"/>
      <c r="F18" s="14" t="n"/>
      <c r="G18" s="27" t="n"/>
      <c r="H18" s="16" t="n"/>
      <c r="I18" s="27" t="n"/>
      <c r="J18" s="14" t="n"/>
      <c r="K18" s="25">
        <f>IF(D18="","",IF(I18&lt;&gt;"","완료",IF(G18="","기한 미정",IF(G18&lt;TODAY(),"기한 경과",IF(G18-TODAY()&lt;=3,"임박","진행 중")))))</f>
        <v/>
      </c>
      <c r="L18" s="26">
        <f>IF(OR(B18="",D18=""),"",IF(I18&lt;&gt;"",I18,TODAY())-B18)</f>
        <v/>
      </c>
    </row>
    <row r="19" ht="25" customHeight="1">
      <c r="A19" s="14" t="n">
        <v>14</v>
      </c>
      <c r="B19" s="27" t="n"/>
      <c r="C19" s="14" t="n"/>
      <c r="D19" s="16" t="n"/>
      <c r="E19" s="14" t="n"/>
      <c r="F19" s="14" t="n"/>
      <c r="G19" s="27" t="n"/>
      <c r="H19" s="16" t="n"/>
      <c r="I19" s="27" t="n"/>
      <c r="J19" s="14" t="n"/>
      <c r="K19" s="25">
        <f>IF(D19="","",IF(I19&lt;&gt;"","완료",IF(G19="","기한 미정",IF(G19&lt;TODAY(),"기한 경과",IF(G19-TODAY()&lt;=3,"임박","진행 중")))))</f>
        <v/>
      </c>
      <c r="L19" s="26">
        <f>IF(OR(B19="",D19=""),"",IF(I19&lt;&gt;"",I19,TODAY())-B19)</f>
        <v/>
      </c>
    </row>
    <row r="20" ht="25" customHeight="1">
      <c r="A20" s="14" t="n">
        <v>15</v>
      </c>
      <c r="B20" s="27" t="n"/>
      <c r="C20" s="14" t="n"/>
      <c r="D20" s="16" t="n"/>
      <c r="E20" s="14" t="n"/>
      <c r="F20" s="14" t="n"/>
      <c r="G20" s="27" t="n"/>
      <c r="H20" s="16" t="n"/>
      <c r="I20" s="27" t="n"/>
      <c r="J20" s="14" t="n"/>
      <c r="K20" s="25">
        <f>IF(D20="","",IF(I20&lt;&gt;"","완료",IF(G20="","기한 미정",IF(G20&lt;TODAY(),"기한 경과",IF(G20-TODAY()&lt;=3,"임박","진행 중")))))</f>
        <v/>
      </c>
      <c r="L20" s="26">
        <f>IF(OR(B20="",D20=""),"",IF(I20&lt;&gt;"",I20,TODAY())-B20)</f>
        <v/>
      </c>
    </row>
    <row r="21" ht="25" customHeight="1">
      <c r="A21" s="14" t="n">
        <v>16</v>
      </c>
      <c r="B21" s="27" t="n"/>
      <c r="C21" s="14" t="n"/>
      <c r="D21" s="16" t="n"/>
      <c r="E21" s="14" t="n"/>
      <c r="F21" s="14" t="n"/>
      <c r="G21" s="27" t="n"/>
      <c r="H21" s="16" t="n"/>
      <c r="I21" s="27" t="n"/>
      <c r="J21" s="14" t="n"/>
      <c r="K21" s="25">
        <f>IF(D21="","",IF(I21&lt;&gt;"","완료",IF(G21="","기한 미정",IF(G21&lt;TODAY(),"기한 경과",IF(G21-TODAY()&lt;=3,"임박","진행 중")))))</f>
        <v/>
      </c>
      <c r="L21" s="26">
        <f>IF(OR(B21="",D21=""),"",IF(I21&lt;&gt;"",I21,TODAY())-B21)</f>
        <v/>
      </c>
    </row>
    <row r="22" ht="25" customHeight="1">
      <c r="A22" s="14" t="n">
        <v>17</v>
      </c>
      <c r="B22" s="27" t="n"/>
      <c r="C22" s="14" t="n"/>
      <c r="D22" s="16" t="n"/>
      <c r="E22" s="14" t="n"/>
      <c r="F22" s="14" t="n"/>
      <c r="G22" s="27" t="n"/>
      <c r="H22" s="16" t="n"/>
      <c r="I22" s="27" t="n"/>
      <c r="J22" s="14" t="n"/>
      <c r="K22" s="25">
        <f>IF(D22="","",IF(I22&lt;&gt;"","완료",IF(G22="","기한 미정",IF(G22&lt;TODAY(),"기한 경과",IF(G22-TODAY()&lt;=3,"임박","진행 중")))))</f>
        <v/>
      </c>
      <c r="L22" s="26">
        <f>IF(OR(B22="",D22=""),"",IF(I22&lt;&gt;"",I22,TODAY())-B22)</f>
        <v/>
      </c>
    </row>
    <row r="23" ht="25" customHeight="1">
      <c r="A23" s="14" t="n">
        <v>18</v>
      </c>
      <c r="B23" s="27" t="n"/>
      <c r="C23" s="14" t="n"/>
      <c r="D23" s="16" t="n"/>
      <c r="E23" s="14" t="n"/>
      <c r="F23" s="14" t="n"/>
      <c r="G23" s="27" t="n"/>
      <c r="H23" s="16" t="n"/>
      <c r="I23" s="27" t="n"/>
      <c r="J23" s="14" t="n"/>
      <c r="K23" s="25">
        <f>IF(D23="","",IF(I23&lt;&gt;"","완료",IF(G23="","기한 미정",IF(G23&lt;TODAY(),"기한 경과",IF(G23-TODAY()&lt;=3,"임박","진행 중")))))</f>
        <v/>
      </c>
      <c r="L23" s="26">
        <f>IF(OR(B23="",D23=""),"",IF(I23&lt;&gt;"",I23,TODAY())-B23)</f>
        <v/>
      </c>
    </row>
    <row r="24" ht="25" customHeight="1">
      <c r="A24" s="14" t="n">
        <v>19</v>
      </c>
      <c r="B24" s="27" t="n"/>
      <c r="C24" s="14" t="n"/>
      <c r="D24" s="16" t="n"/>
      <c r="E24" s="14" t="n"/>
      <c r="F24" s="14" t="n"/>
      <c r="G24" s="27" t="n"/>
      <c r="H24" s="16" t="n"/>
      <c r="I24" s="27" t="n"/>
      <c r="J24" s="14" t="n"/>
      <c r="K24" s="25">
        <f>IF(D24="","",IF(I24&lt;&gt;"","완료",IF(G24="","기한 미정",IF(G24&lt;TODAY(),"기한 경과",IF(G24-TODAY()&lt;=3,"임박","진행 중")))))</f>
        <v/>
      </c>
      <c r="L24" s="26">
        <f>IF(OR(B24="",D24=""),"",IF(I24&lt;&gt;"",I24,TODAY())-B24)</f>
        <v/>
      </c>
    </row>
    <row r="25" ht="25" customHeight="1">
      <c r="A25" s="14" t="n">
        <v>20</v>
      </c>
      <c r="B25" s="27" t="n"/>
      <c r="C25" s="14" t="n"/>
      <c r="D25" s="16" t="n"/>
      <c r="E25" s="14" t="n"/>
      <c r="F25" s="14" t="n"/>
      <c r="G25" s="27" t="n"/>
      <c r="H25" s="16" t="n"/>
      <c r="I25" s="27" t="n"/>
      <c r="J25" s="14" t="n"/>
      <c r="K25" s="25">
        <f>IF(D25="","",IF(I25&lt;&gt;"","완료",IF(G25="","기한 미정",IF(G25&lt;TODAY(),"기한 경과",IF(G25-TODAY()&lt;=3,"임박","진행 중")))))</f>
        <v/>
      </c>
      <c r="L25" s="26">
        <f>IF(OR(B25="",D25=""),"",IF(I25&lt;&gt;"",I25,TODAY())-B25)</f>
        <v/>
      </c>
    </row>
    <row r="26" ht="25" customHeight="1">
      <c r="A26" s="14" t="n">
        <v>21</v>
      </c>
      <c r="B26" s="27" t="n"/>
      <c r="C26" s="14" t="n"/>
      <c r="D26" s="16" t="n"/>
      <c r="E26" s="14" t="n"/>
      <c r="F26" s="14" t="n"/>
      <c r="G26" s="27" t="n"/>
      <c r="H26" s="16" t="n"/>
      <c r="I26" s="27" t="n"/>
      <c r="J26" s="14" t="n"/>
      <c r="K26" s="25">
        <f>IF(D26="","",IF(I26&lt;&gt;"","완료",IF(G26="","기한 미정",IF(G26&lt;TODAY(),"기한 경과",IF(G26-TODAY()&lt;=3,"임박","진행 중")))))</f>
        <v/>
      </c>
      <c r="L26" s="26">
        <f>IF(OR(B26="",D26=""),"",IF(I26&lt;&gt;"",I26,TODAY())-B26)</f>
        <v/>
      </c>
    </row>
    <row r="27" ht="25" customHeight="1">
      <c r="A27" s="14" t="n">
        <v>22</v>
      </c>
      <c r="B27" s="27" t="n"/>
      <c r="C27" s="14" t="n"/>
      <c r="D27" s="16" t="n"/>
      <c r="E27" s="14" t="n"/>
      <c r="F27" s="14" t="n"/>
      <c r="G27" s="27" t="n"/>
      <c r="H27" s="16" t="n"/>
      <c r="I27" s="27" t="n"/>
      <c r="J27" s="14" t="n"/>
      <c r="K27" s="25">
        <f>IF(D27="","",IF(I27&lt;&gt;"","완료",IF(G27="","기한 미정",IF(G27&lt;TODAY(),"기한 경과",IF(G27-TODAY()&lt;=3,"임박","진행 중")))))</f>
        <v/>
      </c>
      <c r="L27" s="26">
        <f>IF(OR(B27="",D27=""),"",IF(I27&lt;&gt;"",I27,TODAY())-B27)</f>
        <v/>
      </c>
    </row>
    <row r="28" ht="25" customHeight="1">
      <c r="A28" s="14" t="n">
        <v>23</v>
      </c>
      <c r="B28" s="27" t="n"/>
      <c r="C28" s="14" t="n"/>
      <c r="D28" s="16" t="n"/>
      <c r="E28" s="14" t="n"/>
      <c r="F28" s="14" t="n"/>
      <c r="G28" s="27" t="n"/>
      <c r="H28" s="16" t="n"/>
      <c r="I28" s="27" t="n"/>
      <c r="J28" s="14" t="n"/>
      <c r="K28" s="25">
        <f>IF(D28="","",IF(I28&lt;&gt;"","완료",IF(G28="","기한 미정",IF(G28&lt;TODAY(),"기한 경과",IF(G28-TODAY()&lt;=3,"임박","진행 중")))))</f>
        <v/>
      </c>
      <c r="L28" s="26">
        <f>IF(OR(B28="",D28=""),"",IF(I28&lt;&gt;"",I28,TODAY())-B28)</f>
        <v/>
      </c>
    </row>
    <row r="29" ht="25" customHeight="1">
      <c r="A29" s="14" t="n">
        <v>24</v>
      </c>
      <c r="B29" s="27" t="n"/>
      <c r="C29" s="14" t="n"/>
      <c r="D29" s="16" t="n"/>
      <c r="E29" s="14" t="n"/>
      <c r="F29" s="14" t="n"/>
      <c r="G29" s="27" t="n"/>
      <c r="H29" s="16" t="n"/>
      <c r="I29" s="27" t="n"/>
      <c r="J29" s="14" t="n"/>
      <c r="K29" s="25">
        <f>IF(D29="","",IF(I29&lt;&gt;"","완료",IF(G29="","기한 미정",IF(G29&lt;TODAY(),"기한 경과",IF(G29-TODAY()&lt;=3,"임박","진행 중")))))</f>
        <v/>
      </c>
      <c r="L29" s="26">
        <f>IF(OR(B29="",D29=""),"",IF(I29&lt;&gt;"",I29,TODAY())-B29)</f>
        <v/>
      </c>
    </row>
    <row r="30" ht="25" customHeight="1">
      <c r="A30" s="14" t="n">
        <v>25</v>
      </c>
      <c r="B30" s="27" t="n"/>
      <c r="C30" s="14" t="n"/>
      <c r="D30" s="16" t="n"/>
      <c r="E30" s="14" t="n"/>
      <c r="F30" s="14" t="n"/>
      <c r="G30" s="27" t="n"/>
      <c r="H30" s="16" t="n"/>
      <c r="I30" s="27" t="n"/>
      <c r="J30" s="14" t="n"/>
      <c r="K30" s="25">
        <f>IF(D30="","",IF(I30&lt;&gt;"","완료",IF(G30="","기한 미정",IF(G30&lt;TODAY(),"기한 경과",IF(G30-TODAY()&lt;=3,"임박","진행 중")))))</f>
        <v/>
      </c>
      <c r="L30" s="26">
        <f>IF(OR(B30="",D30=""),"",IF(I30&lt;&gt;"",I30,TODAY())-B30)</f>
        <v/>
      </c>
    </row>
    <row r="31" ht="25" customHeight="1">
      <c r="A31" s="14" t="n">
        <v>26</v>
      </c>
      <c r="B31" s="27" t="n"/>
      <c r="C31" s="14" t="n"/>
      <c r="D31" s="16" t="n"/>
      <c r="E31" s="14" t="n"/>
      <c r="F31" s="14" t="n"/>
      <c r="G31" s="27" t="n"/>
      <c r="H31" s="16" t="n"/>
      <c r="I31" s="27" t="n"/>
      <c r="J31" s="14" t="n"/>
      <c r="K31" s="25">
        <f>IF(D31="","",IF(I31&lt;&gt;"","완료",IF(G31="","기한 미정",IF(G31&lt;TODAY(),"기한 경과",IF(G31-TODAY()&lt;=3,"임박","진행 중")))))</f>
        <v/>
      </c>
      <c r="L31" s="26">
        <f>IF(OR(B31="",D31=""),"",IF(I31&lt;&gt;"",I31,TODAY())-B31)</f>
        <v/>
      </c>
    </row>
    <row r="32" ht="25" customHeight="1">
      <c r="A32" s="14" t="n">
        <v>27</v>
      </c>
      <c r="B32" s="27" t="n"/>
      <c r="C32" s="14" t="n"/>
      <c r="D32" s="16" t="n"/>
      <c r="E32" s="14" t="n"/>
      <c r="F32" s="14" t="n"/>
      <c r="G32" s="27" t="n"/>
      <c r="H32" s="16" t="n"/>
      <c r="I32" s="27" t="n"/>
      <c r="J32" s="14" t="n"/>
      <c r="K32" s="25">
        <f>IF(D32="","",IF(I32&lt;&gt;"","완료",IF(G32="","기한 미정",IF(G32&lt;TODAY(),"기한 경과",IF(G32-TODAY()&lt;=3,"임박","진행 중")))))</f>
        <v/>
      </c>
      <c r="L32" s="26">
        <f>IF(OR(B32="",D32=""),"",IF(I32&lt;&gt;"",I32,TODAY())-B32)</f>
        <v/>
      </c>
    </row>
    <row r="33" ht="25" customHeight="1">
      <c r="A33" s="14" t="n">
        <v>28</v>
      </c>
      <c r="B33" s="27" t="n"/>
      <c r="C33" s="14" t="n"/>
      <c r="D33" s="16" t="n"/>
      <c r="E33" s="14" t="n"/>
      <c r="F33" s="14" t="n"/>
      <c r="G33" s="27" t="n"/>
      <c r="H33" s="16" t="n"/>
      <c r="I33" s="27" t="n"/>
      <c r="J33" s="14" t="n"/>
      <c r="K33" s="25">
        <f>IF(D33="","",IF(I33&lt;&gt;"","완료",IF(G33="","기한 미정",IF(G33&lt;TODAY(),"기한 경과",IF(G33-TODAY()&lt;=3,"임박","진행 중")))))</f>
        <v/>
      </c>
      <c r="L33" s="26">
        <f>IF(OR(B33="",D33=""),"",IF(I33&lt;&gt;"",I33,TODAY())-B33)</f>
        <v/>
      </c>
    </row>
    <row r="34" ht="25" customHeight="1">
      <c r="A34" s="14" t="n">
        <v>29</v>
      </c>
      <c r="B34" s="27" t="n"/>
      <c r="C34" s="14" t="n"/>
      <c r="D34" s="16" t="n"/>
      <c r="E34" s="14" t="n"/>
      <c r="F34" s="14" t="n"/>
      <c r="G34" s="27" t="n"/>
      <c r="H34" s="16" t="n"/>
      <c r="I34" s="27" t="n"/>
      <c r="J34" s="14" t="n"/>
      <c r="K34" s="25">
        <f>IF(D34="","",IF(I34&lt;&gt;"","완료",IF(G34="","기한 미정",IF(G34&lt;TODAY(),"기한 경과",IF(G34-TODAY()&lt;=3,"임박","진행 중")))))</f>
        <v/>
      </c>
      <c r="L34" s="26">
        <f>IF(OR(B34="",D34=""),"",IF(I34&lt;&gt;"",I34,TODAY())-B34)</f>
        <v/>
      </c>
    </row>
    <row r="35" ht="25" customHeight="1">
      <c r="A35" s="14" t="n">
        <v>30</v>
      </c>
      <c r="B35" s="27" t="n"/>
      <c r="C35" s="14" t="n"/>
      <c r="D35" s="16" t="n"/>
      <c r="E35" s="14" t="n"/>
      <c r="F35" s="14" t="n"/>
      <c r="G35" s="27" t="n"/>
      <c r="H35" s="16" t="n"/>
      <c r="I35" s="27" t="n"/>
      <c r="J35" s="14" t="n"/>
      <c r="K35" s="25">
        <f>IF(D35="","",IF(I35&lt;&gt;"","완료",IF(G35="","기한 미정",IF(G35&lt;TODAY(),"기한 경과",IF(G35-TODAY()&lt;=3,"임박","진행 중")))))</f>
        <v/>
      </c>
      <c r="L35" s="26">
        <f>IF(OR(B35="",D35=""),"",IF(I35&lt;&gt;"",I35,TODAY())-B35)</f>
        <v/>
      </c>
    </row>
    <row r="36" ht="25" customHeight="1">
      <c r="A36" s="14" t="n">
        <v>31</v>
      </c>
      <c r="B36" s="27" t="n"/>
      <c r="C36" s="14" t="n"/>
      <c r="D36" s="16" t="n"/>
      <c r="E36" s="14" t="n"/>
      <c r="F36" s="14" t="n"/>
      <c r="G36" s="27" t="n"/>
      <c r="H36" s="16" t="n"/>
      <c r="I36" s="27" t="n"/>
      <c r="J36" s="14" t="n"/>
      <c r="K36" s="25">
        <f>IF(D36="","",IF(I36&lt;&gt;"","완료",IF(G36="","기한 미정",IF(G36&lt;TODAY(),"기한 경과",IF(G36-TODAY()&lt;=3,"임박","진행 중")))))</f>
        <v/>
      </c>
      <c r="L36" s="26">
        <f>IF(OR(B36="",D36=""),"",IF(I36&lt;&gt;"",I36,TODAY())-B36)</f>
        <v/>
      </c>
    </row>
    <row r="37" ht="25" customHeight="1">
      <c r="A37" s="14" t="n">
        <v>32</v>
      </c>
      <c r="B37" s="27" t="n"/>
      <c r="C37" s="14" t="n"/>
      <c r="D37" s="16" t="n"/>
      <c r="E37" s="14" t="n"/>
      <c r="F37" s="14" t="n"/>
      <c r="G37" s="27" t="n"/>
      <c r="H37" s="16" t="n"/>
      <c r="I37" s="27" t="n"/>
      <c r="J37" s="14" t="n"/>
      <c r="K37" s="25">
        <f>IF(D37="","",IF(I37&lt;&gt;"","완료",IF(G37="","기한 미정",IF(G37&lt;TODAY(),"기한 경과",IF(G37-TODAY()&lt;=3,"임박","진행 중")))))</f>
        <v/>
      </c>
      <c r="L37" s="26">
        <f>IF(OR(B37="",D37=""),"",IF(I37&lt;&gt;"",I37,TODAY())-B37)</f>
        <v/>
      </c>
    </row>
    <row r="38" ht="25" customHeight="1">
      <c r="A38" s="14" t="n">
        <v>33</v>
      </c>
      <c r="B38" s="27" t="n"/>
      <c r="C38" s="14" t="n"/>
      <c r="D38" s="16" t="n"/>
      <c r="E38" s="14" t="n"/>
      <c r="F38" s="14" t="n"/>
      <c r="G38" s="27" t="n"/>
      <c r="H38" s="16" t="n"/>
      <c r="I38" s="27" t="n"/>
      <c r="J38" s="14" t="n"/>
      <c r="K38" s="25">
        <f>IF(D38="","",IF(I38&lt;&gt;"","완료",IF(G38="","기한 미정",IF(G38&lt;TODAY(),"기한 경과",IF(G38-TODAY()&lt;=3,"임박","진행 중")))))</f>
        <v/>
      </c>
      <c r="L38" s="26">
        <f>IF(OR(B38="",D38=""),"",IF(I38&lt;&gt;"",I38,TODAY())-B38)</f>
        <v/>
      </c>
    </row>
    <row r="39" ht="25" customHeight="1">
      <c r="A39" s="14" t="n">
        <v>34</v>
      </c>
      <c r="B39" s="27" t="n"/>
      <c r="C39" s="14" t="n"/>
      <c r="D39" s="16" t="n"/>
      <c r="E39" s="14" t="n"/>
      <c r="F39" s="14" t="n"/>
      <c r="G39" s="27" t="n"/>
      <c r="H39" s="16" t="n"/>
      <c r="I39" s="27" t="n"/>
      <c r="J39" s="14" t="n"/>
      <c r="K39" s="25">
        <f>IF(D39="","",IF(I39&lt;&gt;"","완료",IF(G39="","기한 미정",IF(G39&lt;TODAY(),"기한 경과",IF(G39-TODAY()&lt;=3,"임박","진행 중")))))</f>
        <v/>
      </c>
      <c r="L39" s="26">
        <f>IF(OR(B39="",D39=""),"",IF(I39&lt;&gt;"",I39,TODAY())-B39)</f>
        <v/>
      </c>
    </row>
    <row r="41" ht="24" customHeight="1">
      <c r="B41" s="9" t="inlineStr">
        <is>
          <t>전체</t>
        </is>
      </c>
      <c r="C41" s="28">
        <f>COUNTA(D6:D39)</f>
        <v/>
      </c>
      <c r="D41" s="9" t="inlineStr">
        <is>
          <t>완료</t>
        </is>
      </c>
      <c r="E41" s="28">
        <f>COUNTIF(K6:K39,"완료")</f>
        <v/>
      </c>
      <c r="F41" s="9" t="inlineStr">
        <is>
          <t>진행 중·임박</t>
        </is>
      </c>
      <c r="G41" s="28">
        <f>COUNTIF(K6:K39,"진행 중")+COUNTIF(K6:K39,"임박")</f>
        <v/>
      </c>
      <c r="H41" s="9" t="inlineStr">
        <is>
          <t>기한 경과</t>
        </is>
      </c>
      <c r="I41" s="29">
        <f>COUNTIF(K6:K39,"기한 경과")</f>
        <v/>
      </c>
    </row>
  </sheetData>
  <mergeCells count="4">
    <mergeCell ref="A1:I1"/>
    <mergeCell ref="J1:J2"/>
    <mergeCell ref="A2:I2"/>
    <mergeCell ref="A4:L4"/>
  </mergeCells>
  <conditionalFormatting sqref="K6:K39">
    <cfRule type="expression" priority="1" dxfId="0">
      <formula>ISNUMBER(SEARCH("기한 경과",K6))</formula>
    </cfRule>
    <cfRule type="expression" priority="2" dxfId="3">
      <formula>ISNUMBER(SEARCH("임박",K6))</formula>
    </cfRule>
    <cfRule type="expression" priority="3" dxfId="2">
      <formula>ISNUMBER(SEARCH("완료",K6))</formula>
    </cfRule>
  </conditionalFormatting>
  <conditionalFormatting sqref="E6:E39">
    <cfRule type="expression" priority="4" dxfId="0">
      <formula>ISNUMBER(SEARCH("상",E6))</formula>
    </cfRule>
  </conditionalFormatting>
  <dataValidations count="4">
    <dataValidation sqref="E6:E39" showDropDown="0" showInputMessage="0" showErrorMessage="0" allowBlank="1" errorTitle="입력 확인" error="목록에서 고르세요(목록을 바꾸려면 [데이터] → [데이터 유효성 검사])" type="list">
      <formula1>"상,중,하"</formula1>
    </dataValidation>
    <dataValidation sqref="B6:B39" showDropDown="0" showInputMessage="0" showErrorMessage="1" allowBlank="1" errorTitle="날짜 확인" error="날짜로 넣으세요(예: 2026-10-27)" type="date" operator="greaterThan">
      <formula1>36526</formula1>
    </dataValidation>
    <dataValidation sqref="G6:G39" showDropDown="0" showInputMessage="0" showErrorMessage="1" allowBlank="1" errorTitle="날짜 확인" error="날짜로 넣으세요(예: 2026-10-27)" type="date" operator="greaterThan">
      <formula1>36526</formula1>
    </dataValidation>
    <dataValidation sqref="I6:I39" showDropDown="0" showInputMessage="0" showErrorMessage="1" allowBlank="1" errorTitle="날짜 확인" error="날짜로 넣으세요(예: 2026-10-27)" type="date" operator="greaterThan">
      <formula1>36526</formula1>
    </dataValidation>
  </dataValidations>
  <printOptions horizontalCentered="1"/>
  <pageMargins left="0.4" right="0.4" top="0.5" bottom="0.55" header="0.2" footer="0.25"/>
  <pageSetup orientation="landscape" paperSize="9" fitToHeight="0" fitToWidth="1"/>
  <headerFooter>
    <oddHeader/>
    <oddFooter>&amp;C&amp;"맑은 고딕"&amp;8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2026-10-27T07:23:22Z</dcterms:created>
  <dcterms:modified xmlns:dcterms="http://purl.org/dc/terms/" xmlns:xsi="http://www.w3.org/2001/XMLSchema-instance" xsi:type="dcterms:W3CDTF">2026-10-27T07:23:22Z</dcterms:modified>
</cp:coreProperties>
</file>