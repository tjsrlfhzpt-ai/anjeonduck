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아차사고 보고서" sheetId="2" state="visible" r:id="rId2"/>
    <sheet xmlns:r="http://schemas.openxmlformats.org/officeDocument/2006/relationships" name="아차사고 관리대장" sheetId="3" state="visible" r:id="rId3"/>
  </sheets>
  <definedNames>
    <definedName name="_xlnm.Print_Area" localSheetId="1">'아차사고 보고서'!$A$1:$F$26</definedName>
    <definedName name="_xlnm.Print_Titles" localSheetId="2">'아차사고 관리대장'!$5:$5</definedName>
    <definedName name="_xlnm.Print_Area" localSheetId="2">'아차사고 관리대장'!$A$1:$M$43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yyyy-mm-dd"/>
  </numFmts>
  <fonts count="17">
    <font>
      <name val="Calibri"/>
      <family val="2"/>
      <color theme="1"/>
      <sz val="11"/>
      <scheme val="minor"/>
    </font>
    <font>
      <name val="맑은 고딕"/>
      <b val="1"/>
      <color rgb="0013233A"/>
      <sz val="18"/>
    </font>
    <font>
      <name val="맑은 고딕"/>
      <color rgb="006B7280"/>
      <sz val="9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3233A"/>
      <sz val="9.5"/>
    </font>
    <font>
      <name val="맑은 고딕"/>
      <color rgb="001F2937"/>
      <sz val="10"/>
    </font>
    <font>
      <name val="맑은 고딕"/>
      <i val="1"/>
      <color rgb="008A94A3"/>
      <sz val="9.5"/>
    </font>
    <font>
      <name val="맑은 고딕"/>
      <b val="1"/>
      <color rgb="00FFFFFF"/>
      <sz val="10.5"/>
    </font>
    <font>
      <name val="맑은 고딕"/>
      <b val="1"/>
      <color rgb="0013233A"/>
      <sz val="9"/>
    </font>
    <font>
      <name val="맑은 고딕"/>
      <color rgb="006B7280"/>
      <sz val="8.5"/>
    </font>
    <font>
      <name val="맑은 고딕"/>
      <color rgb="001F2937"/>
      <sz val="9.5"/>
    </font>
    <font>
      <name val="맑은 고딕"/>
      <b val="1"/>
      <color rgb="0013233A"/>
      <sz val="10.5"/>
    </font>
    <font>
      <name val="맑은 고딕"/>
      <b val="1"/>
      <color rgb="001F2937"/>
      <sz val="10"/>
    </font>
    <font>
      <name val="맑은 고딕"/>
      <b val="1"/>
      <color rgb="0013233A"/>
      <sz val="10"/>
    </font>
    <font>
      <name val="맑은 고딕"/>
      <b val="1"/>
      <color rgb="0013233A"/>
      <sz val="11"/>
    </font>
    <font>
      <name val="맑은 고딕"/>
      <i val="1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E7ECF4"/>
        <bgColor rgb="00E7ECF4"/>
      </patternFill>
    </fill>
    <fill>
      <patternFill patternType="solid">
        <fgColor rgb="0013233A"/>
        <bgColor rgb="0013233A"/>
      </patternFill>
    </fill>
    <fill>
      <patternFill patternType="solid">
        <fgColor rgb="00F3F5F9"/>
        <bgColor rgb="00F3F5F9"/>
      </patternFill>
    </fill>
  </fills>
  <borders count="2">
    <border>
      <left/>
      <right/>
      <top/>
      <bottom/>
      <diagonal/>
    </border>
    <border>
      <left style="thin">
        <color rgb="008C97A8"/>
      </left>
      <right style="thin">
        <color rgb="008C97A8"/>
      </right>
      <top style="thin">
        <color rgb="008C97A8"/>
      </top>
      <bottom style="thin">
        <color rgb="008C97A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name val="맑은 고딕"/>
        <b val="1"/>
        <color rgb="00FFFFFF"/>
      </font>
      <fill>
        <patternFill patternType="solid">
          <fgColor rgb="00D92D20"/>
          <bgColor rgb="00D92D20"/>
        </patternFill>
      </fill>
    </dxf>
    <dxf>
      <font>
        <name val="맑은 고딕"/>
        <b val="1"/>
        <color rgb="0005603A"/>
      </font>
      <fill>
        <patternFill patternType="solid">
          <fgColor rgb="00D1FADF"/>
          <bgColor rgb="00D1FA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8A2B3"/>
    <outlinePr summaryBelow="1" summaryRight="1"/>
    <pageSetUpPr fitToPage="1"/>
  </sheetPr>
  <dimension ref="A1:B12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4" customHeight="1">
      <c r="A1" s="1" t="inlineStr">
        <is>
          <t>아차사고 보고서·관리대장 — 작성 안내</t>
        </is>
      </c>
    </row>
    <row r="2" ht="18" customHeight="1">
      <c r="A2" s="2" t="inlineStr">
        <is>
          <t>SafePlum 무료 양식 · safeplum.com — 사업장 사정에 맞게 고쳐 쓰세요</t>
        </is>
      </c>
    </row>
    <row r="4">
      <c r="A4" s="3" t="inlineStr">
        <is>
          <t>■</t>
        </is>
      </c>
      <c r="B4" s="4" t="inlineStr">
        <is>
          <t>왜 기록하나</t>
        </is>
      </c>
    </row>
    <row r="5" ht="32" customHeight="1">
      <c r="B5" s="5" t="inlineStr">
        <is>
          <t>다친 사람이 없어도 같은 원인이 반복되면 사고로 이어집니다. 원인을 인적·물적·관리적으로 나눠 보면 대책이 구체적으로 나옵니다.</t>
        </is>
      </c>
    </row>
    <row r="6" ht="18" customHeight="1">
      <c r="B6" s="5" t="inlineStr">
        <is>
          <t>대책은 원인과 짝이 맞게 적고, 위험성평가(수시평가)에 반영했는지 표시하세요.</t>
        </is>
      </c>
    </row>
    <row r="8">
      <c r="A8" s="3" t="inlineStr">
        <is>
          <t>■</t>
        </is>
      </c>
      <c r="B8" s="4" t="inlineStr">
        <is>
          <t>주의</t>
        </is>
      </c>
    </row>
    <row r="9" ht="32" customHeight="1">
      <c r="B9" s="5" t="inlineStr">
        <is>
          <t>실명·연락처 같은 개인정보는 보고 범위에 맞게 최소한으로 적습니다. 보고한 사람에게 불이익이 없도록 운영해야 보고가 늘어납니다.</t>
        </is>
      </c>
    </row>
    <row r="10" ht="32" customHeight="1">
      <c r="B10" s="5" t="inlineStr">
        <is>
          <t>실제 부상이 생겼다면 산업재해 조사·보고 대상인지 확인하세요(사망 또는 3일 이상 휴업: 산업재해조사표, 시행규칙 제73조).</t>
        </is>
      </c>
    </row>
    <row r="12" ht="30" customHeight="1">
      <c r="B12" s="6" t="inlineStr">
        <is>
          <t>아차사고 보고는 법정 서식이 없는 실무 기록입니다. 화면으로 작성: safeplum.com/tools/forms/accident/</t>
        </is>
      </c>
    </row>
  </sheetData>
  <mergeCells count="2">
    <mergeCell ref="A2:B2"/>
    <mergeCell ref="A1:B1"/>
  </mergeCells>
  <printOptions horizontalCentered="1"/>
  <pageMargins left="0.4" right="0.4" top="0.5" bottom="0.55" header="0.2" footer="0.2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13233A"/>
    <outlinePr summaryBelow="1" summaryRight="1"/>
    <pageSetUpPr fitToPage="1"/>
  </sheetPr>
  <dimension ref="A1:F26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18" customHeight="1">
      <c r="A1" s="1" t="inlineStr">
        <is>
          <t>아차사고 보고서</t>
        </is>
      </c>
      <c r="D1" s="7" t="inlineStr">
        <is>
          <t>결
재</t>
        </is>
      </c>
      <c r="E1" s="7" t="inlineStr">
        <is>
          <t>팀장</t>
        </is>
      </c>
      <c r="F1" s="7" t="inlineStr">
        <is>
          <t>안전관리자</t>
        </is>
      </c>
    </row>
    <row r="2" ht="30" customHeight="1">
      <c r="A2" s="2" t="inlineStr">
        <is>
          <t>다친 사람이 없어도 같은 원인이 반복되면 사고가 됩니다 — 발견한 사람 누구나 작성</t>
        </is>
      </c>
      <c r="D2" s="7" t="n"/>
      <c r="E2" s="8" t="n"/>
      <c r="F2" s="8" t="n"/>
    </row>
    <row r="4" ht="24" customHeight="1">
      <c r="A4" s="9" t="inlineStr">
        <is>
          <t>발생 일시</t>
        </is>
      </c>
      <c r="B4" s="10" t="inlineStr">
        <is>
          <t>2026-10-27 10:20</t>
        </is>
      </c>
      <c r="C4" s="11" t="n"/>
      <c r="D4" s="9" t="inlineStr">
        <is>
          <t>발생 장소</t>
        </is>
      </c>
      <c r="E4" s="12" t="inlineStr">
        <is>
          <t>자재창고 랙 3열</t>
        </is>
      </c>
      <c r="F4" s="11" t="n"/>
    </row>
    <row r="5" ht="24" customHeight="1">
      <c r="A5" s="9" t="inlineStr">
        <is>
          <t>보고자</t>
        </is>
      </c>
      <c r="B5" s="11" t="n"/>
      <c r="C5" s="11" t="n"/>
      <c r="D5" s="9" t="inlineStr">
        <is>
          <t>보고일</t>
        </is>
      </c>
      <c r="E5" s="13" t="n"/>
      <c r="F5" s="11" t="n"/>
    </row>
    <row r="6" ht="24" customHeight="1">
      <c r="A6" s="9" t="inlineStr">
        <is>
          <t>작업 내용</t>
        </is>
      </c>
      <c r="B6" s="11" t="n"/>
      <c r="C6" s="11" t="n"/>
      <c r="D6" s="9" t="inlineStr">
        <is>
          <t>관련 설비</t>
        </is>
      </c>
      <c r="E6" s="11" t="n"/>
      <c r="F6" s="11" t="n"/>
    </row>
    <row r="7" ht="24" customHeight="1">
      <c r="A7" s="9" t="inlineStr">
        <is>
          <t>유형</t>
        </is>
      </c>
      <c r="B7" s="12" t="inlineStr">
        <is>
          <t>물체에 맞음</t>
        </is>
      </c>
      <c r="C7" s="11" t="n"/>
      <c r="D7" s="9" t="inlineStr">
        <is>
          <t>잠재 피해</t>
        </is>
      </c>
      <c r="E7" s="12" t="inlineStr">
        <is>
          <t>중상 가능</t>
        </is>
      </c>
      <c r="F7" s="11" t="n"/>
    </row>
    <row r="9">
      <c r="A9" s="14" t="inlineStr">
        <is>
          <t>무엇이 있었나 (경위)</t>
        </is>
      </c>
      <c r="B9" s="14" t="n"/>
      <c r="C9" s="14" t="n"/>
      <c r="D9" s="14" t="n"/>
      <c r="E9" s="14" t="n"/>
      <c r="F9" s="14" t="n"/>
    </row>
    <row r="10" ht="70" customHeight="1">
      <c r="A10" s="15" t="inlineStr">
        <is>
          <t>예: 지게차로 랙 상단 팔레트를 내리던 중 박스 1개가 떨어졌으나 아래에 사람이 없어 다치지 않음</t>
        </is>
      </c>
      <c r="B10" s="16" t="n"/>
      <c r="C10" s="16" t="n"/>
      <c r="D10" s="16" t="n"/>
      <c r="E10" s="16" t="n"/>
      <c r="F10" s="16" t="n"/>
    </row>
    <row r="12">
      <c r="A12" s="14" t="inlineStr">
        <is>
          <t>왜 일어났나 (원인)</t>
        </is>
      </c>
      <c r="B12" s="14" t="n"/>
      <c r="C12" s="14" t="n"/>
      <c r="D12" s="14" t="n"/>
      <c r="E12" s="14" t="n"/>
      <c r="F12" s="14" t="n"/>
    </row>
    <row r="13" ht="30" customHeight="1">
      <c r="A13" s="17" t="inlineStr">
        <is>
          <t>인적 원인
(사람)</t>
        </is>
      </c>
      <c r="B13" s="12" t="inlineStr">
        <is>
          <t>예: 하역 반경 출입 통제 미흡</t>
        </is>
      </c>
      <c r="C13" s="11" t="n"/>
      <c r="D13" s="11" t="n"/>
      <c r="E13" s="11" t="n"/>
      <c r="F13" s="11" t="n"/>
    </row>
    <row r="14" ht="30" customHeight="1">
      <c r="A14" s="17" t="inlineStr">
        <is>
          <t>물적 원인
(설비·물질)</t>
        </is>
      </c>
      <c r="B14" s="12" t="inlineStr">
        <is>
          <t>예: 팔레트 랩핑 불량</t>
        </is>
      </c>
      <c r="C14" s="11" t="n"/>
      <c r="D14" s="11" t="n"/>
      <c r="E14" s="11" t="n"/>
      <c r="F14" s="11" t="n"/>
    </row>
    <row r="15" ht="30" customHeight="1">
      <c r="A15" s="17" t="inlineStr">
        <is>
          <t>관리적 원인
(절차·관리)</t>
        </is>
      </c>
      <c r="B15" s="12" t="inlineStr">
        <is>
          <t>예: 적재 높이 기준 없음</t>
        </is>
      </c>
      <c r="C15" s="11" t="n"/>
      <c r="D15" s="11" t="n"/>
      <c r="E15" s="11" t="n"/>
      <c r="F15" s="11" t="n"/>
    </row>
    <row r="17">
      <c r="A17" s="14" t="inlineStr">
        <is>
          <t>어떻게 막나 (재발방지 대책)</t>
        </is>
      </c>
      <c r="B17" s="14" t="n"/>
      <c r="C17" s="14" t="n"/>
      <c r="D17" s="14" t="n"/>
      <c r="E17" s="14" t="n"/>
      <c r="F17" s="14" t="n"/>
    </row>
    <row r="18" ht="70" customHeight="1">
      <c r="A18" s="15" t="inlineStr">
        <is>
          <t>예: 상단 적재 높이 1.5m 이하 제한, 하역 중 랙 아래 출입 통제선, 팔레트 랩핑 상태 작업 전 점검 항목에 추가</t>
        </is>
      </c>
      <c r="B18" s="16" t="n"/>
      <c r="C18" s="16" t="n"/>
      <c r="D18" s="16" t="n"/>
      <c r="E18" s="16" t="n"/>
      <c r="F18" s="16" t="n"/>
    </row>
    <row r="20">
      <c r="A20" s="14" t="inlineStr">
        <is>
          <t>조치 결과 확인</t>
        </is>
      </c>
      <c r="B20" s="14" t="n"/>
      <c r="C20" s="14" t="n"/>
      <c r="D20" s="14" t="n"/>
      <c r="E20" s="14" t="n"/>
      <c r="F20" s="14" t="n"/>
    </row>
    <row r="21" ht="46" customHeight="1">
      <c r="A21" s="16" t="n"/>
      <c r="B21" s="16" t="n"/>
      <c r="C21" s="16" t="n"/>
      <c r="D21" s="16" t="n"/>
      <c r="E21" s="16" t="n"/>
      <c r="F21" s="16" t="n"/>
    </row>
    <row r="23" ht="24" customHeight="1">
      <c r="A23" s="9" t="inlineStr">
        <is>
          <t>조치 담당</t>
        </is>
      </c>
      <c r="B23" s="11" t="n"/>
      <c r="C23" s="11" t="n"/>
      <c r="D23" s="9" t="inlineStr">
        <is>
          <t>조치 기한</t>
        </is>
      </c>
      <c r="E23" s="11" t="n"/>
      <c r="F23" s="11" t="n"/>
    </row>
    <row r="24" ht="24" customHeight="1">
      <c r="A24" s="9" t="inlineStr">
        <is>
          <t>공유 방법</t>
        </is>
      </c>
      <c r="B24" s="11" t="n"/>
      <c r="C24" s="11" t="n"/>
      <c r="D24" s="9" t="inlineStr">
        <is>
          <t>위험성평가 반영</t>
        </is>
      </c>
      <c r="E24" s="11" t="n"/>
      <c r="F24" s="11" t="n"/>
    </row>
    <row r="26" ht="16" customHeight="1">
      <c r="A26" s="18" t="inlineStr">
        <is>
          <t>흰 칸에 입력 · 회색 기울임 글씨는 예시(지우고 쓰기) · 색이 있는 칸은 자동 계산</t>
        </is>
      </c>
    </row>
  </sheetData>
  <mergeCells count="26">
    <mergeCell ref="B7:C7"/>
    <mergeCell ref="E24:F24"/>
    <mergeCell ref="E5:F5"/>
    <mergeCell ref="E23:F23"/>
    <mergeCell ref="A12:F12"/>
    <mergeCell ref="A18:F18"/>
    <mergeCell ref="A26:F26"/>
    <mergeCell ref="A21:F21"/>
    <mergeCell ref="A2:C2"/>
    <mergeCell ref="E4:F4"/>
    <mergeCell ref="B23:C23"/>
    <mergeCell ref="A17:F17"/>
    <mergeCell ref="B14:F14"/>
    <mergeCell ref="A20:F20"/>
    <mergeCell ref="B13:F13"/>
    <mergeCell ref="E6:F6"/>
    <mergeCell ref="A10:F10"/>
    <mergeCell ref="A9:F9"/>
    <mergeCell ref="B6:C6"/>
    <mergeCell ref="B24:C24"/>
    <mergeCell ref="A1:C1"/>
    <mergeCell ref="E7:F7"/>
    <mergeCell ref="B15:F15"/>
    <mergeCell ref="B5:C5"/>
    <mergeCell ref="D1:D2"/>
    <mergeCell ref="B4:C4"/>
  </mergeCells>
  <dataValidations count="4">
    <dataValidation sqref="B7" showDropDown="0" showInputMessage="0" showErrorMessage="0" allowBlank="1" errorTitle="입력 확인" error="목록에서 고르세요(목록을 바꾸려면 [데이터] → [데이터 유효성 검사])" type="list">
      <formula1>"떨어짐,넘어짐,끼임,부딪힘,물체에 맞음,무너짐,깔림·뒤집힘,절단·베임·찔림,감전,화재·폭발,화학물질 누출·접촉,기타"</formula1>
    </dataValidation>
    <dataValidation sqref="E7" showDropDown="0" showInputMessage="0" showErrorMessage="0" allowBlank="1" errorTitle="입력 확인" error="목록에서 고르세요(목록을 바꾸려면 [데이터] → [데이터 유효성 검사])" type="list">
      <formula1>"사망 가능,중상 가능,경상 가능,재산 피해"</formula1>
    </dataValidation>
    <dataValidation sqref="B24" showDropDown="0" showInputMessage="0" showErrorMessage="0" allowBlank="1" errorTitle="입력 확인" error="목록에서 고르세요(목록을 바꾸려면 [데이터] → [데이터 유효성 검사])" type="list">
      <formula1>"TBM,게시판,안전교육,산업안전보건위원회,협의체 회의"</formula1>
    </dataValidation>
    <dataValidation sqref="E24" showDropDown="0" showInputMessage="0" showErrorMessage="0" allowBlank="1" errorTitle="입력 확인" error="목록에서 고르세요(목록을 바꾸려면 [데이터] → [데이터 유효성 검사])" type="list">
      <formula1>"수시평가 반영,반영 예정,해당 없음"</formula1>
    </dataValidation>
  </dataValidations>
  <printOptions horizontalCentered="1"/>
  <pageMargins left="0.4" right="0.4" top="0.5" bottom="0.55" header="0.2" footer="0.25"/>
  <pageSetup orientation="portrait" paperSize="9" fitToHeight="1" fitToWidth="1"/>
  <headerFooter>
    <oddHeader/>
    <oddFooter>&amp;C&amp;"맑은 고딕"&amp;8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79009"/>
    <outlinePr summaryBelow="1" summaryRight="1"/>
    <pageSetUpPr fitToPage="1"/>
  </sheetPr>
  <dimension ref="A1:M43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12" customWidth="1" min="4" max="4"/>
    <col width="30" customWidth="1" min="5" max="5"/>
    <col width="10" customWidth="1" min="6" max="6"/>
    <col width="22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</cols>
  <sheetData>
    <row r="1" ht="18" customHeight="1">
      <c r="A1" s="1" t="inlineStr">
        <is>
          <t>아차사고 관리대장</t>
        </is>
      </c>
      <c r="K1" s="7" t="inlineStr">
        <is>
          <t>결
재</t>
        </is>
      </c>
      <c r="L1" s="7" t="inlineStr">
        <is>
          <t>담당</t>
        </is>
      </c>
      <c r="M1" s="7" t="inlineStr">
        <is>
          <t>승인</t>
        </is>
      </c>
    </row>
    <row r="2" ht="28" customHeight="1">
      <c r="A2" s="2" t="inlineStr">
        <is>
          <t>보고서를 한 줄로 모아 유형별 추세와 조치 완료 여부를 관리합니다</t>
        </is>
      </c>
      <c r="K2" s="7" t="n"/>
      <c r="L2" s="8" t="n"/>
      <c r="M2" s="8" t="n"/>
    </row>
    <row r="4" ht="16" customHeight="1">
      <c r="A4" s="18" t="inlineStr">
        <is>
          <t>흰 칸에 입력 · 회색 기울임 글씨는 예시(지우고 쓰기) · 색이 있는 칸은 자동 계산</t>
        </is>
      </c>
    </row>
    <row r="5" ht="30" customHeight="1">
      <c r="A5" s="9" t="inlineStr">
        <is>
          <t>No</t>
        </is>
      </c>
      <c r="B5" s="9" t="inlineStr">
        <is>
          <t>발생일</t>
        </is>
      </c>
      <c r="C5" s="9" t="inlineStr">
        <is>
          <t>장소</t>
        </is>
      </c>
      <c r="D5" s="9" t="inlineStr">
        <is>
          <t>유형</t>
        </is>
      </c>
      <c r="E5" s="9" t="inlineStr">
        <is>
          <t>경위(요약)</t>
        </is>
      </c>
      <c r="F5" s="9" t="inlineStr">
        <is>
          <t>잠재 피해</t>
        </is>
      </c>
      <c r="G5" s="9" t="inlineStr">
        <is>
          <t>주요 원인</t>
        </is>
      </c>
      <c r="H5" s="9" t="inlineStr">
        <is>
          <t>재발방지 대책</t>
        </is>
      </c>
      <c r="I5" s="9" t="inlineStr">
        <is>
          <t>담당</t>
        </is>
      </c>
      <c r="J5" s="9" t="inlineStr">
        <is>
          <t>조치 기한</t>
        </is>
      </c>
      <c r="K5" s="9" t="inlineStr">
        <is>
          <t>완료일</t>
        </is>
      </c>
      <c r="L5" s="9" t="inlineStr">
        <is>
          <t>위험성평가
반영</t>
        </is>
      </c>
      <c r="M5" s="9" t="inlineStr">
        <is>
          <t>상태</t>
        </is>
      </c>
    </row>
    <row r="6" ht="25" customHeight="1">
      <c r="A6" s="19" t="n">
        <v>1</v>
      </c>
      <c r="B6" s="20" t="inlineStr">
        <is>
          <t>2026-10-27</t>
        </is>
      </c>
      <c r="C6" s="21" t="inlineStr">
        <is>
          <t>자재창고 랙 3열</t>
        </is>
      </c>
      <c r="D6" s="21" t="inlineStr">
        <is>
          <t>물체에 맞음</t>
        </is>
      </c>
      <c r="E6" s="12" t="inlineStr">
        <is>
          <t>하역 중 상단 박스 낙하, 부상 없음</t>
        </is>
      </c>
      <c r="F6" s="21" t="inlineStr">
        <is>
          <t>중상 가능</t>
        </is>
      </c>
      <c r="G6" s="12" t="inlineStr">
        <is>
          <t>적재 높이 기준 없음</t>
        </is>
      </c>
      <c r="H6" s="12" t="inlineStr">
        <is>
          <t>적재 높이 1.5m 제한·출입 통제선</t>
        </is>
      </c>
      <c r="I6" s="21" t="inlineStr">
        <is>
          <t>물류팀</t>
        </is>
      </c>
      <c r="J6" s="20" t="inlineStr">
        <is>
          <t>2026-11-03</t>
        </is>
      </c>
      <c r="K6" s="22" t="n"/>
      <c r="L6" s="21" t="inlineStr">
        <is>
          <t>수시평가 반영</t>
        </is>
      </c>
      <c r="M6" s="23">
        <f>IF(E6="","",IF(K6&lt;&gt;"","완료",IF(J6="","기한 미정",IF(J6&lt;TODAY(),"기한 경과","진행 중"))))</f>
        <v/>
      </c>
    </row>
    <row r="7" ht="25" customHeight="1">
      <c r="A7" s="19" t="n">
        <v>2</v>
      </c>
      <c r="B7" s="22" t="n"/>
      <c r="C7" s="19" t="n"/>
      <c r="D7" s="19" t="n"/>
      <c r="E7" s="24" t="n"/>
      <c r="F7" s="19" t="n"/>
      <c r="G7" s="24" t="n"/>
      <c r="H7" s="24" t="n"/>
      <c r="I7" s="19" t="n"/>
      <c r="J7" s="22" t="n"/>
      <c r="K7" s="22" t="n"/>
      <c r="L7" s="19" t="n"/>
      <c r="M7" s="23">
        <f>IF(E7="","",IF(K7&lt;&gt;"","완료",IF(J7="","기한 미정",IF(J7&lt;TODAY(),"기한 경과","진행 중"))))</f>
        <v/>
      </c>
    </row>
    <row r="8" ht="25" customHeight="1">
      <c r="A8" s="19" t="n">
        <v>3</v>
      </c>
      <c r="B8" s="22" t="n"/>
      <c r="C8" s="19" t="n"/>
      <c r="D8" s="19" t="n"/>
      <c r="E8" s="24" t="n"/>
      <c r="F8" s="19" t="n"/>
      <c r="G8" s="24" t="n"/>
      <c r="H8" s="24" t="n"/>
      <c r="I8" s="19" t="n"/>
      <c r="J8" s="22" t="n"/>
      <c r="K8" s="22" t="n"/>
      <c r="L8" s="19" t="n"/>
      <c r="M8" s="23">
        <f>IF(E8="","",IF(K8&lt;&gt;"","완료",IF(J8="","기한 미정",IF(J8&lt;TODAY(),"기한 경과","진행 중"))))</f>
        <v/>
      </c>
    </row>
    <row r="9" ht="25" customHeight="1">
      <c r="A9" s="19" t="n">
        <v>4</v>
      </c>
      <c r="B9" s="22" t="n"/>
      <c r="C9" s="19" t="n"/>
      <c r="D9" s="19" t="n"/>
      <c r="E9" s="24" t="n"/>
      <c r="F9" s="19" t="n"/>
      <c r="G9" s="24" t="n"/>
      <c r="H9" s="24" t="n"/>
      <c r="I9" s="19" t="n"/>
      <c r="J9" s="22" t="n"/>
      <c r="K9" s="22" t="n"/>
      <c r="L9" s="19" t="n"/>
      <c r="M9" s="23">
        <f>IF(E9="","",IF(K9&lt;&gt;"","완료",IF(J9="","기한 미정",IF(J9&lt;TODAY(),"기한 경과","진행 중"))))</f>
        <v/>
      </c>
    </row>
    <row r="10" ht="25" customHeight="1">
      <c r="A10" s="19" t="n">
        <v>5</v>
      </c>
      <c r="B10" s="22" t="n"/>
      <c r="C10" s="19" t="n"/>
      <c r="D10" s="19" t="n"/>
      <c r="E10" s="24" t="n"/>
      <c r="F10" s="19" t="n"/>
      <c r="G10" s="24" t="n"/>
      <c r="H10" s="24" t="n"/>
      <c r="I10" s="19" t="n"/>
      <c r="J10" s="22" t="n"/>
      <c r="K10" s="22" t="n"/>
      <c r="L10" s="19" t="n"/>
      <c r="M10" s="23">
        <f>IF(E10="","",IF(K10&lt;&gt;"","완료",IF(J10="","기한 미정",IF(J10&lt;TODAY(),"기한 경과","진행 중"))))</f>
        <v/>
      </c>
    </row>
    <row r="11" ht="25" customHeight="1">
      <c r="A11" s="19" t="n">
        <v>6</v>
      </c>
      <c r="B11" s="22" t="n"/>
      <c r="C11" s="19" t="n"/>
      <c r="D11" s="19" t="n"/>
      <c r="E11" s="24" t="n"/>
      <c r="F11" s="19" t="n"/>
      <c r="G11" s="24" t="n"/>
      <c r="H11" s="24" t="n"/>
      <c r="I11" s="19" t="n"/>
      <c r="J11" s="22" t="n"/>
      <c r="K11" s="22" t="n"/>
      <c r="L11" s="19" t="n"/>
      <c r="M11" s="23">
        <f>IF(E11="","",IF(K11&lt;&gt;"","완료",IF(J11="","기한 미정",IF(J11&lt;TODAY(),"기한 경과","진행 중"))))</f>
        <v/>
      </c>
    </row>
    <row r="12" ht="25" customHeight="1">
      <c r="A12" s="19" t="n">
        <v>7</v>
      </c>
      <c r="B12" s="22" t="n"/>
      <c r="C12" s="19" t="n"/>
      <c r="D12" s="19" t="n"/>
      <c r="E12" s="24" t="n"/>
      <c r="F12" s="19" t="n"/>
      <c r="G12" s="24" t="n"/>
      <c r="H12" s="24" t="n"/>
      <c r="I12" s="19" t="n"/>
      <c r="J12" s="22" t="n"/>
      <c r="K12" s="22" t="n"/>
      <c r="L12" s="19" t="n"/>
      <c r="M12" s="23">
        <f>IF(E12="","",IF(K12&lt;&gt;"","완료",IF(J12="","기한 미정",IF(J12&lt;TODAY(),"기한 경과","진행 중"))))</f>
        <v/>
      </c>
    </row>
    <row r="13" ht="25" customHeight="1">
      <c r="A13" s="19" t="n">
        <v>8</v>
      </c>
      <c r="B13" s="22" t="n"/>
      <c r="C13" s="19" t="n"/>
      <c r="D13" s="19" t="n"/>
      <c r="E13" s="24" t="n"/>
      <c r="F13" s="19" t="n"/>
      <c r="G13" s="24" t="n"/>
      <c r="H13" s="24" t="n"/>
      <c r="I13" s="19" t="n"/>
      <c r="J13" s="22" t="n"/>
      <c r="K13" s="22" t="n"/>
      <c r="L13" s="19" t="n"/>
      <c r="M13" s="23">
        <f>IF(E13="","",IF(K13&lt;&gt;"","완료",IF(J13="","기한 미정",IF(J13&lt;TODAY(),"기한 경과","진행 중"))))</f>
        <v/>
      </c>
    </row>
    <row r="14" ht="25" customHeight="1">
      <c r="A14" s="19" t="n">
        <v>9</v>
      </c>
      <c r="B14" s="22" t="n"/>
      <c r="C14" s="19" t="n"/>
      <c r="D14" s="19" t="n"/>
      <c r="E14" s="24" t="n"/>
      <c r="F14" s="19" t="n"/>
      <c r="G14" s="24" t="n"/>
      <c r="H14" s="24" t="n"/>
      <c r="I14" s="19" t="n"/>
      <c r="J14" s="22" t="n"/>
      <c r="K14" s="22" t="n"/>
      <c r="L14" s="19" t="n"/>
      <c r="M14" s="23">
        <f>IF(E14="","",IF(K14&lt;&gt;"","완료",IF(J14="","기한 미정",IF(J14&lt;TODAY(),"기한 경과","진행 중"))))</f>
        <v/>
      </c>
    </row>
    <row r="15" ht="25" customHeight="1">
      <c r="A15" s="19" t="n">
        <v>10</v>
      </c>
      <c r="B15" s="22" t="n"/>
      <c r="C15" s="19" t="n"/>
      <c r="D15" s="19" t="n"/>
      <c r="E15" s="24" t="n"/>
      <c r="F15" s="19" t="n"/>
      <c r="G15" s="24" t="n"/>
      <c r="H15" s="24" t="n"/>
      <c r="I15" s="19" t="n"/>
      <c r="J15" s="22" t="n"/>
      <c r="K15" s="22" t="n"/>
      <c r="L15" s="19" t="n"/>
      <c r="M15" s="23">
        <f>IF(E15="","",IF(K15&lt;&gt;"","완료",IF(J15="","기한 미정",IF(J15&lt;TODAY(),"기한 경과","진행 중"))))</f>
        <v/>
      </c>
    </row>
    <row r="16" ht="25" customHeight="1">
      <c r="A16" s="19" t="n">
        <v>11</v>
      </c>
      <c r="B16" s="22" t="n"/>
      <c r="C16" s="19" t="n"/>
      <c r="D16" s="19" t="n"/>
      <c r="E16" s="24" t="n"/>
      <c r="F16" s="19" t="n"/>
      <c r="G16" s="24" t="n"/>
      <c r="H16" s="24" t="n"/>
      <c r="I16" s="19" t="n"/>
      <c r="J16" s="22" t="n"/>
      <c r="K16" s="22" t="n"/>
      <c r="L16" s="19" t="n"/>
      <c r="M16" s="23">
        <f>IF(E16="","",IF(K16&lt;&gt;"","완료",IF(J16="","기한 미정",IF(J16&lt;TODAY(),"기한 경과","진행 중"))))</f>
        <v/>
      </c>
    </row>
    <row r="17" ht="25" customHeight="1">
      <c r="A17" s="19" t="n">
        <v>12</v>
      </c>
      <c r="B17" s="22" t="n"/>
      <c r="C17" s="19" t="n"/>
      <c r="D17" s="19" t="n"/>
      <c r="E17" s="24" t="n"/>
      <c r="F17" s="19" t="n"/>
      <c r="G17" s="24" t="n"/>
      <c r="H17" s="24" t="n"/>
      <c r="I17" s="19" t="n"/>
      <c r="J17" s="22" t="n"/>
      <c r="K17" s="22" t="n"/>
      <c r="L17" s="19" t="n"/>
      <c r="M17" s="23">
        <f>IF(E17="","",IF(K17&lt;&gt;"","완료",IF(J17="","기한 미정",IF(J17&lt;TODAY(),"기한 경과","진행 중"))))</f>
        <v/>
      </c>
    </row>
    <row r="18" ht="25" customHeight="1">
      <c r="A18" s="19" t="n">
        <v>13</v>
      </c>
      <c r="B18" s="22" t="n"/>
      <c r="C18" s="19" t="n"/>
      <c r="D18" s="19" t="n"/>
      <c r="E18" s="24" t="n"/>
      <c r="F18" s="19" t="n"/>
      <c r="G18" s="24" t="n"/>
      <c r="H18" s="24" t="n"/>
      <c r="I18" s="19" t="n"/>
      <c r="J18" s="22" t="n"/>
      <c r="K18" s="22" t="n"/>
      <c r="L18" s="19" t="n"/>
      <c r="M18" s="23">
        <f>IF(E18="","",IF(K18&lt;&gt;"","완료",IF(J18="","기한 미정",IF(J18&lt;TODAY(),"기한 경과","진행 중"))))</f>
        <v/>
      </c>
    </row>
    <row r="19" ht="25" customHeight="1">
      <c r="A19" s="19" t="n">
        <v>14</v>
      </c>
      <c r="B19" s="22" t="n"/>
      <c r="C19" s="19" t="n"/>
      <c r="D19" s="19" t="n"/>
      <c r="E19" s="24" t="n"/>
      <c r="F19" s="19" t="n"/>
      <c r="G19" s="24" t="n"/>
      <c r="H19" s="24" t="n"/>
      <c r="I19" s="19" t="n"/>
      <c r="J19" s="22" t="n"/>
      <c r="K19" s="22" t="n"/>
      <c r="L19" s="19" t="n"/>
      <c r="M19" s="23">
        <f>IF(E19="","",IF(K19&lt;&gt;"","완료",IF(J19="","기한 미정",IF(J19&lt;TODAY(),"기한 경과","진행 중"))))</f>
        <v/>
      </c>
    </row>
    <row r="20" ht="25" customHeight="1">
      <c r="A20" s="19" t="n">
        <v>15</v>
      </c>
      <c r="B20" s="22" t="n"/>
      <c r="C20" s="19" t="n"/>
      <c r="D20" s="19" t="n"/>
      <c r="E20" s="24" t="n"/>
      <c r="F20" s="19" t="n"/>
      <c r="G20" s="24" t="n"/>
      <c r="H20" s="24" t="n"/>
      <c r="I20" s="19" t="n"/>
      <c r="J20" s="22" t="n"/>
      <c r="K20" s="22" t="n"/>
      <c r="L20" s="19" t="n"/>
      <c r="M20" s="23">
        <f>IF(E20="","",IF(K20&lt;&gt;"","완료",IF(J20="","기한 미정",IF(J20&lt;TODAY(),"기한 경과","진행 중"))))</f>
        <v/>
      </c>
    </row>
    <row r="21" ht="25" customHeight="1">
      <c r="A21" s="19" t="n">
        <v>16</v>
      </c>
      <c r="B21" s="22" t="n"/>
      <c r="C21" s="19" t="n"/>
      <c r="D21" s="19" t="n"/>
      <c r="E21" s="24" t="n"/>
      <c r="F21" s="19" t="n"/>
      <c r="G21" s="24" t="n"/>
      <c r="H21" s="24" t="n"/>
      <c r="I21" s="19" t="n"/>
      <c r="J21" s="22" t="n"/>
      <c r="K21" s="22" t="n"/>
      <c r="L21" s="19" t="n"/>
      <c r="M21" s="23">
        <f>IF(E21="","",IF(K21&lt;&gt;"","완료",IF(J21="","기한 미정",IF(J21&lt;TODAY(),"기한 경과","진행 중"))))</f>
        <v/>
      </c>
    </row>
    <row r="22" ht="25" customHeight="1">
      <c r="A22" s="19" t="n">
        <v>17</v>
      </c>
      <c r="B22" s="22" t="n"/>
      <c r="C22" s="19" t="n"/>
      <c r="D22" s="19" t="n"/>
      <c r="E22" s="24" t="n"/>
      <c r="F22" s="19" t="n"/>
      <c r="G22" s="24" t="n"/>
      <c r="H22" s="24" t="n"/>
      <c r="I22" s="19" t="n"/>
      <c r="J22" s="22" t="n"/>
      <c r="K22" s="22" t="n"/>
      <c r="L22" s="19" t="n"/>
      <c r="M22" s="23">
        <f>IF(E22="","",IF(K22&lt;&gt;"","완료",IF(J22="","기한 미정",IF(J22&lt;TODAY(),"기한 경과","진행 중"))))</f>
        <v/>
      </c>
    </row>
    <row r="23" ht="25" customHeight="1">
      <c r="A23" s="19" t="n">
        <v>18</v>
      </c>
      <c r="B23" s="22" t="n"/>
      <c r="C23" s="19" t="n"/>
      <c r="D23" s="19" t="n"/>
      <c r="E23" s="24" t="n"/>
      <c r="F23" s="19" t="n"/>
      <c r="G23" s="24" t="n"/>
      <c r="H23" s="24" t="n"/>
      <c r="I23" s="19" t="n"/>
      <c r="J23" s="22" t="n"/>
      <c r="K23" s="22" t="n"/>
      <c r="L23" s="19" t="n"/>
      <c r="M23" s="23">
        <f>IF(E23="","",IF(K23&lt;&gt;"","완료",IF(J23="","기한 미정",IF(J23&lt;TODAY(),"기한 경과","진행 중"))))</f>
        <v/>
      </c>
    </row>
    <row r="24" ht="25" customHeight="1">
      <c r="A24" s="19" t="n">
        <v>19</v>
      </c>
      <c r="B24" s="22" t="n"/>
      <c r="C24" s="19" t="n"/>
      <c r="D24" s="19" t="n"/>
      <c r="E24" s="24" t="n"/>
      <c r="F24" s="19" t="n"/>
      <c r="G24" s="24" t="n"/>
      <c r="H24" s="24" t="n"/>
      <c r="I24" s="19" t="n"/>
      <c r="J24" s="22" t="n"/>
      <c r="K24" s="22" t="n"/>
      <c r="L24" s="19" t="n"/>
      <c r="M24" s="23">
        <f>IF(E24="","",IF(K24&lt;&gt;"","완료",IF(J24="","기한 미정",IF(J24&lt;TODAY(),"기한 경과","진행 중"))))</f>
        <v/>
      </c>
    </row>
    <row r="25" ht="25" customHeight="1">
      <c r="A25" s="19" t="n">
        <v>20</v>
      </c>
      <c r="B25" s="22" t="n"/>
      <c r="C25" s="19" t="n"/>
      <c r="D25" s="19" t="n"/>
      <c r="E25" s="24" t="n"/>
      <c r="F25" s="19" t="n"/>
      <c r="G25" s="24" t="n"/>
      <c r="H25" s="24" t="n"/>
      <c r="I25" s="19" t="n"/>
      <c r="J25" s="22" t="n"/>
      <c r="K25" s="22" t="n"/>
      <c r="L25" s="19" t="n"/>
      <c r="M25" s="23">
        <f>IF(E25="","",IF(K25&lt;&gt;"","완료",IF(J25="","기한 미정",IF(J25&lt;TODAY(),"기한 경과","진행 중"))))</f>
        <v/>
      </c>
    </row>
    <row r="26" ht="25" customHeight="1">
      <c r="A26" s="19" t="n">
        <v>21</v>
      </c>
      <c r="B26" s="22" t="n"/>
      <c r="C26" s="19" t="n"/>
      <c r="D26" s="19" t="n"/>
      <c r="E26" s="24" t="n"/>
      <c r="F26" s="19" t="n"/>
      <c r="G26" s="24" t="n"/>
      <c r="H26" s="24" t="n"/>
      <c r="I26" s="19" t="n"/>
      <c r="J26" s="22" t="n"/>
      <c r="K26" s="22" t="n"/>
      <c r="L26" s="19" t="n"/>
      <c r="M26" s="23">
        <f>IF(E26="","",IF(K26&lt;&gt;"","완료",IF(J26="","기한 미정",IF(J26&lt;TODAY(),"기한 경과","진행 중"))))</f>
        <v/>
      </c>
    </row>
    <row r="27" ht="25" customHeight="1">
      <c r="A27" s="19" t="n">
        <v>22</v>
      </c>
      <c r="B27" s="22" t="n"/>
      <c r="C27" s="19" t="n"/>
      <c r="D27" s="19" t="n"/>
      <c r="E27" s="24" t="n"/>
      <c r="F27" s="19" t="n"/>
      <c r="G27" s="24" t="n"/>
      <c r="H27" s="24" t="n"/>
      <c r="I27" s="19" t="n"/>
      <c r="J27" s="22" t="n"/>
      <c r="K27" s="22" t="n"/>
      <c r="L27" s="19" t="n"/>
      <c r="M27" s="23">
        <f>IF(E27="","",IF(K27&lt;&gt;"","완료",IF(J27="","기한 미정",IF(J27&lt;TODAY(),"기한 경과","진행 중"))))</f>
        <v/>
      </c>
    </row>
    <row r="28" ht="25" customHeight="1">
      <c r="A28" s="19" t="n">
        <v>23</v>
      </c>
      <c r="B28" s="22" t="n"/>
      <c r="C28" s="19" t="n"/>
      <c r="D28" s="19" t="n"/>
      <c r="E28" s="24" t="n"/>
      <c r="F28" s="19" t="n"/>
      <c r="G28" s="24" t="n"/>
      <c r="H28" s="24" t="n"/>
      <c r="I28" s="19" t="n"/>
      <c r="J28" s="22" t="n"/>
      <c r="K28" s="22" t="n"/>
      <c r="L28" s="19" t="n"/>
      <c r="M28" s="23">
        <f>IF(E28="","",IF(K28&lt;&gt;"","완료",IF(J28="","기한 미정",IF(J28&lt;TODAY(),"기한 경과","진행 중"))))</f>
        <v/>
      </c>
    </row>
    <row r="29" ht="25" customHeight="1">
      <c r="A29" s="19" t="n">
        <v>24</v>
      </c>
      <c r="B29" s="22" t="n"/>
      <c r="C29" s="19" t="n"/>
      <c r="D29" s="19" t="n"/>
      <c r="E29" s="24" t="n"/>
      <c r="F29" s="19" t="n"/>
      <c r="G29" s="24" t="n"/>
      <c r="H29" s="24" t="n"/>
      <c r="I29" s="19" t="n"/>
      <c r="J29" s="22" t="n"/>
      <c r="K29" s="22" t="n"/>
      <c r="L29" s="19" t="n"/>
      <c r="M29" s="23">
        <f>IF(E29="","",IF(K29&lt;&gt;"","완료",IF(J29="","기한 미정",IF(J29&lt;TODAY(),"기한 경과","진행 중"))))</f>
        <v/>
      </c>
    </row>
    <row r="30" ht="25" customHeight="1">
      <c r="A30" s="19" t="n">
        <v>25</v>
      </c>
      <c r="B30" s="22" t="n"/>
      <c r="C30" s="19" t="n"/>
      <c r="D30" s="19" t="n"/>
      <c r="E30" s="24" t="n"/>
      <c r="F30" s="19" t="n"/>
      <c r="G30" s="24" t="n"/>
      <c r="H30" s="24" t="n"/>
      <c r="I30" s="19" t="n"/>
      <c r="J30" s="22" t="n"/>
      <c r="K30" s="22" t="n"/>
      <c r="L30" s="19" t="n"/>
      <c r="M30" s="23">
        <f>IF(E30="","",IF(K30&lt;&gt;"","완료",IF(J30="","기한 미정",IF(J30&lt;TODAY(),"기한 경과","진행 중"))))</f>
        <v/>
      </c>
    </row>
    <row r="31" ht="25" customHeight="1">
      <c r="A31" s="19" t="n">
        <v>26</v>
      </c>
      <c r="B31" s="22" t="n"/>
      <c r="C31" s="19" t="n"/>
      <c r="D31" s="19" t="n"/>
      <c r="E31" s="24" t="n"/>
      <c r="F31" s="19" t="n"/>
      <c r="G31" s="24" t="n"/>
      <c r="H31" s="24" t="n"/>
      <c r="I31" s="19" t="n"/>
      <c r="J31" s="22" t="n"/>
      <c r="K31" s="22" t="n"/>
      <c r="L31" s="19" t="n"/>
      <c r="M31" s="23">
        <f>IF(E31="","",IF(K31&lt;&gt;"","완료",IF(J31="","기한 미정",IF(J31&lt;TODAY(),"기한 경과","진행 중"))))</f>
        <v/>
      </c>
    </row>
    <row r="32" ht="25" customHeight="1">
      <c r="A32" s="19" t="n">
        <v>27</v>
      </c>
      <c r="B32" s="22" t="n"/>
      <c r="C32" s="19" t="n"/>
      <c r="D32" s="19" t="n"/>
      <c r="E32" s="24" t="n"/>
      <c r="F32" s="19" t="n"/>
      <c r="G32" s="24" t="n"/>
      <c r="H32" s="24" t="n"/>
      <c r="I32" s="19" t="n"/>
      <c r="J32" s="22" t="n"/>
      <c r="K32" s="22" t="n"/>
      <c r="L32" s="19" t="n"/>
      <c r="M32" s="23">
        <f>IF(E32="","",IF(K32&lt;&gt;"","완료",IF(J32="","기한 미정",IF(J32&lt;TODAY(),"기한 경과","진행 중"))))</f>
        <v/>
      </c>
    </row>
    <row r="33" ht="25" customHeight="1">
      <c r="A33" s="19" t="n">
        <v>28</v>
      </c>
      <c r="B33" s="22" t="n"/>
      <c r="C33" s="19" t="n"/>
      <c r="D33" s="19" t="n"/>
      <c r="E33" s="24" t="n"/>
      <c r="F33" s="19" t="n"/>
      <c r="G33" s="24" t="n"/>
      <c r="H33" s="24" t="n"/>
      <c r="I33" s="19" t="n"/>
      <c r="J33" s="22" t="n"/>
      <c r="K33" s="22" t="n"/>
      <c r="L33" s="19" t="n"/>
      <c r="M33" s="23">
        <f>IF(E33="","",IF(K33&lt;&gt;"","완료",IF(J33="","기한 미정",IF(J33&lt;TODAY(),"기한 경과","진행 중"))))</f>
        <v/>
      </c>
    </row>
    <row r="34" ht="25" customHeight="1">
      <c r="A34" s="19" t="n">
        <v>29</v>
      </c>
      <c r="B34" s="22" t="n"/>
      <c r="C34" s="19" t="n"/>
      <c r="D34" s="19" t="n"/>
      <c r="E34" s="24" t="n"/>
      <c r="F34" s="19" t="n"/>
      <c r="G34" s="24" t="n"/>
      <c r="H34" s="24" t="n"/>
      <c r="I34" s="19" t="n"/>
      <c r="J34" s="22" t="n"/>
      <c r="K34" s="22" t="n"/>
      <c r="L34" s="19" t="n"/>
      <c r="M34" s="23">
        <f>IF(E34="","",IF(K34&lt;&gt;"","완료",IF(J34="","기한 미정",IF(J34&lt;TODAY(),"기한 경과","진행 중"))))</f>
        <v/>
      </c>
    </row>
    <row r="35" ht="25" customHeight="1">
      <c r="A35" s="19" t="n">
        <v>30</v>
      </c>
      <c r="B35" s="22" t="n"/>
      <c r="C35" s="19" t="n"/>
      <c r="D35" s="19" t="n"/>
      <c r="E35" s="24" t="n"/>
      <c r="F35" s="19" t="n"/>
      <c r="G35" s="24" t="n"/>
      <c r="H35" s="24" t="n"/>
      <c r="I35" s="19" t="n"/>
      <c r="J35" s="22" t="n"/>
      <c r="K35" s="22" t="n"/>
      <c r="L35" s="19" t="n"/>
      <c r="M35" s="23">
        <f>IF(E35="","",IF(K35&lt;&gt;"","완료",IF(J35="","기한 미정",IF(J35&lt;TODAY(),"기한 경과","진행 중"))))</f>
        <v/>
      </c>
    </row>
    <row r="36" ht="25" customHeight="1">
      <c r="A36" s="19" t="n">
        <v>31</v>
      </c>
      <c r="B36" s="22" t="n"/>
      <c r="C36" s="19" t="n"/>
      <c r="D36" s="19" t="n"/>
      <c r="E36" s="24" t="n"/>
      <c r="F36" s="19" t="n"/>
      <c r="G36" s="24" t="n"/>
      <c r="H36" s="24" t="n"/>
      <c r="I36" s="19" t="n"/>
      <c r="J36" s="22" t="n"/>
      <c r="K36" s="22" t="n"/>
      <c r="L36" s="19" t="n"/>
      <c r="M36" s="23">
        <f>IF(E36="","",IF(K36&lt;&gt;"","완료",IF(J36="","기한 미정",IF(J36&lt;TODAY(),"기한 경과","진행 중"))))</f>
        <v/>
      </c>
    </row>
    <row r="37" ht="25" customHeight="1">
      <c r="A37" s="19" t="n">
        <v>32</v>
      </c>
      <c r="B37" s="22" t="n"/>
      <c r="C37" s="19" t="n"/>
      <c r="D37" s="19" t="n"/>
      <c r="E37" s="24" t="n"/>
      <c r="F37" s="19" t="n"/>
      <c r="G37" s="24" t="n"/>
      <c r="H37" s="24" t="n"/>
      <c r="I37" s="19" t="n"/>
      <c r="J37" s="22" t="n"/>
      <c r="K37" s="22" t="n"/>
      <c r="L37" s="19" t="n"/>
      <c r="M37" s="23">
        <f>IF(E37="","",IF(K37&lt;&gt;"","완료",IF(J37="","기한 미정",IF(J37&lt;TODAY(),"기한 경과","진행 중"))))</f>
        <v/>
      </c>
    </row>
    <row r="38" ht="25" customHeight="1">
      <c r="A38" s="19" t="n">
        <v>33</v>
      </c>
      <c r="B38" s="22" t="n"/>
      <c r="C38" s="19" t="n"/>
      <c r="D38" s="19" t="n"/>
      <c r="E38" s="24" t="n"/>
      <c r="F38" s="19" t="n"/>
      <c r="G38" s="24" t="n"/>
      <c r="H38" s="24" t="n"/>
      <c r="I38" s="19" t="n"/>
      <c r="J38" s="22" t="n"/>
      <c r="K38" s="22" t="n"/>
      <c r="L38" s="19" t="n"/>
      <c r="M38" s="23">
        <f>IF(E38="","",IF(K38&lt;&gt;"","완료",IF(J38="","기한 미정",IF(J38&lt;TODAY(),"기한 경과","진행 중"))))</f>
        <v/>
      </c>
    </row>
    <row r="39" ht="25" customHeight="1">
      <c r="A39" s="19" t="n">
        <v>34</v>
      </c>
      <c r="B39" s="22" t="n"/>
      <c r="C39" s="19" t="n"/>
      <c r="D39" s="19" t="n"/>
      <c r="E39" s="24" t="n"/>
      <c r="F39" s="19" t="n"/>
      <c r="G39" s="24" t="n"/>
      <c r="H39" s="24" t="n"/>
      <c r="I39" s="19" t="n"/>
      <c r="J39" s="22" t="n"/>
      <c r="K39" s="22" t="n"/>
      <c r="L39" s="19" t="n"/>
      <c r="M39" s="23">
        <f>IF(E39="","",IF(K39&lt;&gt;"","완료",IF(J39="","기한 미정",IF(J39&lt;TODAY(),"기한 경과","진행 중"))))</f>
        <v/>
      </c>
    </row>
    <row r="41">
      <c r="B41" s="25" t="inlineStr">
        <is>
          <t>유형별 건수</t>
        </is>
      </c>
    </row>
    <row r="42">
      <c r="B42" s="26" t="inlineStr">
        <is>
          <t>떨어짐</t>
        </is>
      </c>
      <c r="C42" s="27">
        <f>COUNTIF($D$6:$D$39,"떨어짐")</f>
        <v/>
      </c>
      <c r="D42" s="26" t="inlineStr">
        <is>
          <t>넘어짐</t>
        </is>
      </c>
      <c r="E42" s="27">
        <f>COUNTIF($D$6:$D$39,"넘어짐")</f>
        <v/>
      </c>
      <c r="F42" s="26" t="inlineStr">
        <is>
          <t>끼임</t>
        </is>
      </c>
      <c r="G42" s="27">
        <f>COUNTIF($D$6:$D$39,"끼임")</f>
        <v/>
      </c>
      <c r="H42" s="26" t="inlineStr">
        <is>
          <t>부딪힘</t>
        </is>
      </c>
      <c r="I42" s="27">
        <f>COUNTIF($D$6:$D$39,"부딪힘")</f>
        <v/>
      </c>
      <c r="J42" s="26" t="inlineStr">
        <is>
          <t>물체에 맞음</t>
        </is>
      </c>
      <c r="K42" s="27">
        <f>COUNTIF($D$6:$D$39,"물체에 맞음")</f>
        <v/>
      </c>
      <c r="L42" s="26" t="inlineStr">
        <is>
          <t>무너짐</t>
        </is>
      </c>
      <c r="M42" s="27">
        <f>COUNTIF($D$6:$D$39,"무너짐")</f>
        <v/>
      </c>
    </row>
    <row r="43">
      <c r="B43" s="26" t="inlineStr">
        <is>
          <t>깔림·뒤집힘</t>
        </is>
      </c>
      <c r="C43" s="27">
        <f>COUNTIF($D$6:$D$39,"깔림·뒤집힘")</f>
        <v/>
      </c>
      <c r="D43" s="26" t="inlineStr">
        <is>
          <t>절단·베임·찔림</t>
        </is>
      </c>
      <c r="E43" s="27">
        <f>COUNTIF($D$6:$D$39,"절단·베임·찔림")</f>
        <v/>
      </c>
      <c r="F43" s="26" t="inlineStr">
        <is>
          <t>감전</t>
        </is>
      </c>
      <c r="G43" s="27">
        <f>COUNTIF($D$6:$D$39,"감전")</f>
        <v/>
      </c>
      <c r="H43" s="26" t="inlineStr">
        <is>
          <t>화재·폭발</t>
        </is>
      </c>
      <c r="I43" s="27">
        <f>COUNTIF($D$6:$D$39,"화재·폭발")</f>
        <v/>
      </c>
      <c r="J43" s="26" t="inlineStr">
        <is>
          <t>화학물질 누출·접촉</t>
        </is>
      </c>
      <c r="K43" s="27">
        <f>COUNTIF($D$6:$D$39,"화학물질 누출·접촉")</f>
        <v/>
      </c>
      <c r="L43" s="26" t="inlineStr">
        <is>
          <t>기타</t>
        </is>
      </c>
      <c r="M43" s="27">
        <f>COUNTIF($D$6:$D$39,"기타")</f>
        <v/>
      </c>
    </row>
  </sheetData>
  <mergeCells count="4">
    <mergeCell ref="A1:I1"/>
    <mergeCell ref="A4:M4"/>
    <mergeCell ref="A2:I2"/>
    <mergeCell ref="K1:K2"/>
  </mergeCells>
  <conditionalFormatting sqref="M6:M39">
    <cfRule type="expression" priority="1" dxfId="0">
      <formula>ISNUMBER(SEARCH("기한 경과",M6))</formula>
    </cfRule>
    <cfRule type="expression" priority="2" dxfId="1">
      <formula>ISNUMBER(SEARCH("완료",M6))</formula>
    </cfRule>
  </conditionalFormatting>
  <conditionalFormatting sqref="F6:F39">
    <cfRule type="expression" priority="3" dxfId="0">
      <formula>ISNUMBER(SEARCH("사망",F6))</formula>
    </cfRule>
  </conditionalFormatting>
  <dataValidations count="6">
    <dataValidation sqref="D6:D39" showDropDown="0" showInputMessage="0" showErrorMessage="0" allowBlank="1" errorTitle="입력 확인" error="목록에서 고르세요(목록을 바꾸려면 [데이터] → [데이터 유효성 검사])" type="list">
      <formula1>"떨어짐,넘어짐,끼임,부딪힘,물체에 맞음,무너짐,깔림·뒤집힘,절단·베임·찔림,감전,화재·폭발,화학물질 누출·접촉,기타"</formula1>
    </dataValidation>
    <dataValidation sqref="F6:F39" showDropDown="0" showInputMessage="0" showErrorMessage="0" allowBlank="1" errorTitle="입력 확인" error="목록에서 고르세요(목록을 바꾸려면 [데이터] → [데이터 유효성 검사])" type="list">
      <formula1>"사망 가능,중상 가능,경상 가능,재산 피해"</formula1>
    </dataValidation>
    <dataValidation sqref="L6:L39" showDropDown="0" showInputMessage="0" showErrorMessage="0" allowBlank="1" errorTitle="입력 확인" error="목록에서 고르세요(목록을 바꾸려면 [데이터] → [데이터 유효성 검사])" type="list">
      <formula1>"수시평가 반영,반영 예정,해당 없음"</formula1>
    </dataValidation>
    <dataValidation sqref="B6:B39" showDropDown="0" showInputMessage="0" showErrorMessage="1" allowBlank="1" errorTitle="날짜 확인" error="날짜로 넣으세요(예: 2026-10-27)" type="date" operator="greaterThan">
      <formula1>36526</formula1>
    </dataValidation>
    <dataValidation sqref="J6:J39" showDropDown="0" showInputMessage="0" showErrorMessage="1" allowBlank="1" errorTitle="날짜 확인" error="날짜로 넣으세요(예: 2026-10-27)" type="date" operator="greaterThan">
      <formula1>36526</formula1>
    </dataValidation>
    <dataValidation sqref="K6:K39" showDropDown="0" showInputMessage="0" showErrorMessage="1" allowBlank="1" errorTitle="날짜 확인" error="날짜로 넣으세요(예: 2026-10-27)" type="date" operator="greaterThan">
      <formula1>36526</formula1>
    </dataValidation>
  </dataValidations>
  <printOptions horizontalCentered="1"/>
  <pageMargins left="0.4" right="0.4" top="0.5" bottom="0.55" header="0.2" footer="0.25"/>
  <pageSetup orientation="landscape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2026-10-27T07:23:22Z</dcterms:created>
  <dcterms:modified xmlns:dcterms="http://purl.org/dc/terms/" xmlns:xsi="http://www.w3.org/2001/XMLSchema-instance" xsi:type="dcterms:W3CDTF">2026-10-27T07:23:22Z</dcterms:modified>
</cp:coreProperties>
</file>